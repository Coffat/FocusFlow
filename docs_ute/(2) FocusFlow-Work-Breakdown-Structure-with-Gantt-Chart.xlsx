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customooxmlschemas.google.com/">
  <ns0:workbookPr/>
  <ns0:sheets>
    <ns0:sheet state="visible" name="WBS with Gantt Chart FOCUSFLOW" sheetId="1" ns1:id="rId4"/>
    <ns0:sheet state="visible" name="WBS with Gantt Chart BLANK" sheetId="2" ns1:id="rId5"/>
  </ns0:sheets>
  <ns0:definedNames/>
  <ns0:calcPr/>
  <ns0:extLst>
    <ns0:ext uri="GoogleSheetsCustomDataVersion2">
      <ns2:sheetsCustomData ns1:id="rId6" roundtripDataChecksum="C6PPedlvim7T3tw16XebmBWLuaF6+j0EgVLlDHPsN2g="/>
    </ns0:ext>
  </ns0:extLst>
</ns0:workbook>
</file>

<file path=xl/sharedStrings.xml><?xml version="1.0" encoding="utf-8"?>
<sst xmlns="http://schemas.openxmlformats.org/spreadsheetml/2006/main" count="109" uniqueCount="109">
  <si>
    <t>FocusFlow — Work Breakdown Structure &amp; Gantt Chart (15 Tuần)</t>
  </si>
  <si>
    <t>Project Title</t>
  </si>
  <si>
    <t>FocusFlow — Hệ thống hỗ trợ lập kế hoạch và thực thi lộ trình tự học thích ứng tích hợp AI</t>
  </si>
  <si>
    <t>Project Manager</t>
  </si>
  <si>
    <t>Vũ Toàn Thắng (23110329) &amp; Phan Đình Duẩn (23110192)</t>
  </si>
  <si>
    <t>Company Name</t>
  </si>
  <si>
    <t>Trường ĐH Sư phạm Kỹ thuật TP.HCM (HCMUTE) — Khoa CNTT</t>
  </si>
  <si>
    <t>Date</t>
  </si>
  <si>
    <t>28/08/2026</t>
  </si>
  <si>
    <t>Phase One: Khởi tạo dự án &amp; Đặc tả yêu cầu (Tuần 1–3)</t>
  </si>
  <si>
    <t>Phase Two: Phân tích hệ thống &amp; Thiết kế kiến trúc, CSDL (Tuần 4–6)</t>
  </si>
  <si>
    <t>Phase Three: Lập trình chức năng cốt lõi MVP &amp; Tích hợp AI (Tuần 7–11)</t>
  </si>
  <si>
    <t>Phase Four: Kiểm thử, UAT &amp; Đánh giá NFRs (Tuần 12–13)</t>
  </si>
  <si>
    <t>Phase Five: Hoàn thiện Khóa luận, Slide &amp; Bảo vệ tốt nghiệp (Tuần 14–15)</t>
  </si>
  <si>
    <t>WBS Number</t>
  </si>
  <si>
    <t>Task Title</t>
  </si>
  <si>
    <t>Task Owner</t>
  </si>
  <si>
    <t>Start Date</t>
  </si>
  <si>
    <t>Due Date</t>
  </si>
  <si>
    <t>Duration</t>
  </si>
  <si>
    <t>%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</si>
  <si>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</si>
  <si>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</si>
  <si>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</si>
  <si>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</si>
  <si>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</si>
  <si>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</si>
  <si>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</si>
  <si>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</si>
  <si>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</si>
  <si>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</si>
  <si>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</si>
  <si>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</si>
  <si>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</si>
  <si>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</si>
  <si>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</si>
  <si>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F</t>
  </si>
  <si>
    <t>Sa</t>
  </si>
  <si>
    <t>Su</t>
  </si>
  <si>
    <t>M</t>
  </si>
  <si>
    <t>T</t>
  </si>
  <si>
    <t>W</t>
  </si>
  <si>
    <t>R</t>
  </si>
  <si>
    <t>Khởi tạo &amp; Định nghĩa bài toán (Project Inception &amp; Problem Statement)</t>
  </si>
  <si>
    <t>Khảo sát nhu cầu tự học và nghiên cứu đối sánh giải pháp (Benchmarking)</t>
  </si>
  <si>
    <t>Phan Đình Duẩn</t>
  </si>
  <si>
    <t>Thiết lập Business Goals &amp; 5 chỉ số KPI định lượng</t>
  </si>
  <si>
    <t>Vũ Toàn Thắng</t>
  </si>
  <si>
    <t>Xác định tác nhân hệ thống &amp; Phân tích chân dung người dùng (Personas)</t>
  </si>
  <si>
    <t>Đặc tả yêu cầu phần mềm (Software Requirements Specification - SRS)</t>
  </si>
  <si>
    <t>Soạn thảo hồ sơ SRS v1.0 theo chuẩn ISO/IEC/IEEE 29148:2018</t>
  </si>
  <si>
    <t>Xây dựng quy tắc nghiệp vụ (Business Rules: Strict Apply, Availability, Quota)</t>
  </si>
  <si>
    <t>Thiết lập ma trận truy vết yêu cầu (Requirement Traceability Matrix - RTM)</t>
  </si>
  <si>
    <t>Thẩm định &amp; Đóng băng cơ sở yêu cầu (Requirements Baseline Freeze)</t>
  </si>
  <si>
    <t>Vũ Toàn Thắng &amp; Phan Đình Duẩn</t>
  </si>
  <si>
    <t>Mô hình hóa phân tích hệ thống (System Analysis &amp; UML Modeling)</t>
  </si>
  <si>
    <t>Thiết kế Use Case Diagram &amp; Đặc tả kịch bản Use Case chi tiết</t>
  </si>
  <si>
    <t>Thiết kế Activity Diagrams (Onboarding, AI Scheduling, Session Execution)</t>
  </si>
  <si>
    <t>Thiết kế Sequence Diagrams (Workflow M2, Overdue Shift, WebCal Feed)</t>
  </si>
  <si>
    <t>Thiết kế State Machine Diagram (Vòng đời Roadmap, Task, Session, Proposal)</t>
  </si>
  <si>
    <t>Thiết kế kiến trúc &amp; Cơ sở dữ liệu (System Architecture &amp; Database Design)</t>
  </si>
  <si>
    <t>Thiết kế kiến trúc phần mềm tổng thể (Layered Architecture / C4 Model)</t>
  </si>
  <si>
    <t>Thiết kế sơ đồ cơ sở dữ liệu (Database Diagram / DB Diagram) &amp; Mô hình hóa</t>
  </si>
  <si>
    <t>Xây dựng từ điển dữ liệu (Data Dictionary), Index &amp; Ràng buộc toàn vẹn CSDL</t>
  </si>
  <si>
    <t>Viết các bản ghi quyết định kiến trúc (Architecture Decision Records - ADRs)</t>
  </si>
  <si>
    <t>Thiết lập nền tảng &amp; Module cơ sở (Project Setup &amp; Foundation Modules)</t>
  </si>
  <si>
    <t>Khởi tạo Repository, cấu hình dự án, Alembic Database Migrations &amp; Thiết lập CI/CD Pipeline tự động</t>
  </si>
  <si>
    <t>Xây dựng Module Xác thực, Phân quyền RBAC (User/Admin) &amp; Hồ sơ người dùng (FR-AUTH)</t>
  </si>
  <si>
    <t>Xây dựng Module Cấu hình thời gian rảnh lai (FR-AVAIL Mode A Quota &amp; Mode B)</t>
  </si>
  <si>
    <t>Phát triển Module Lập kế hoạch AI &amp; Duyệt lịch (AI Planning &amp; Approval Gate)</t>
  </si>
  <si>
    <t>Tích hợp LLM API với Structured Outputs (JSON Schema Validation Gate)</t>
  </si>
  <si>
    <t>Xây dựng luồng sinh Milestones Cấp 1 &amp; Schedule Proposal Cấp 2</t>
  </si>
  <si>
    <t>Phát triển giao diện chỉnh sửa đề xuất &amp; Cơ chế Validation khi Apply</t>
  </si>
  <si>
    <t>Phát triển Không gian phiên học &amp; Lịch ngoại vi (Study Session &amp; Calendar)</t>
  </si>
  <si>
    <t>Xây dựng Study Tool Suite (Pomodoro/Stopwatch, Checklist, Scratchpad &amp; Note)</t>
  </si>
  <si>
    <t>Xử lý gián đoạn phiên học &amp; Hoàn trả task dở dang về Backlog</t>
  </si>
  <si>
    <t>Phát triển thuật toán thích ứng quá hạn tất định &amp; Celery Beat Scheduled Tasks (FR-OVERDUE)</t>
  </si>
  <si>
    <t>Phát triển tính năng Tạm dừng lộ trình (Pause Roadmap &amp; Domino Shift)</t>
  </si>
  <si>
    <t>Xây dựng Secure Token WebCal Subscription Feed &amp; Xuất tệp tin .ics</t>
  </si>
  <si>
    <t>Phát triển Module Báo cáo định lượng &amp; Quản trị Quota (Analytics &amp; Quota Guard)</t>
  </si>
  <si>
    <t>Xây dựng Dashboard thống kê định lượng thời gian học &amp; Tỷ lệ hoàn thành task</t>
  </si>
  <si>
    <t>Tích hợp AI Review phân tích định tính từ số liệu thống kê &amp; Key Takeaways</t>
  </si>
  <si>
    <t>Xây dựng Service-level Quota Guard, Admin Quota Override &amp; Mock Upgrade Sandbox</t>
  </si>
  <si>
    <t>Kiểm thử phần mềm &amp; Đo lường NFRs (Software Testing &amp; NFR Verification)</t>
  </si>
  <si>
    <t>Xây dựng Unit Tests &amp; Integration Tests tự động cho toàn bộ API và Core Logic</t>
  </si>
  <si>
    <t>Kiểm thử hiệu năng &amp; Độ trễ thao tác UI (Kiểm chứng NFR 1 &lt;= 60s, NFR 2 &lt;= 500ms)</t>
  </si>
  <si>
    <t>Kiểm thử bảo mật (Sanitization, 0 secret leak, hash mật khẩu - NFR 3)</t>
  </si>
  <si>
    <t>Đánh giá khả năng tiếp cận &amp; Responsive (Google Lighthouse Score &gt;= 90 - NFR 5)</t>
  </si>
  <si>
    <t>Thử nghiệm người dùng &amp; Triển khai thực tế (UAT Testing &amp; Cloud Deployment)</t>
  </si>
  <si>
    <t>Triển khai hệ thống lên môi trường Staging/Production công khai</t>
  </si>
  <si>
    <t>Tổ chức thử nghiệm UAT với &gt;= 10 người dùng thật thuộc đối tượng mục tiêu</t>
  </si>
  <si>
    <t>Khảo sát đo lường điểm SUS (System Usability Scale) &amp; Đánh giá 5 KPIs</t>
  </si>
  <si>
    <t>Hoàn thiện báo cáo khóa luận tốt nghiệp (Thesis Report Writing &amp; Formatting)</t>
  </si>
  <si>
    <t>Soạn thảo Chương 1 (Tổng quan) &amp; Chương 2 (Cơ sở lý thuyết &amp; Hiện trạng)</t>
  </si>
  <si>
    <t>Soạn thảo Chương 3 (Phân tích nghiệp vụ &amp; Thiết kế hệ thống)</t>
  </si>
  <si>
    <t>Soạn thảo Chương 4 (Hiện thực hóa hệ thống &amp; Tích hợp AI)</t>
  </si>
  <si>
    <t>Soạn thảo Chương 5 (Thực nghiệm UAT, Đo lường KPI &amp; Kết luận)</t>
  </si>
  <si>
    <t>Rà soát tính truy vết &amp; Chuẩn hóa định dạng khóa luận tốt nghiệp</t>
  </si>
  <si>
    <t>Chuẩn bị &amp; Bảo vệ khóa luận tốt nghiệp (Thesis Defense Preparation &amp; Defense)</t>
  </si>
  <si>
    <t>Thiết kế Slide báo cáo thuyết trình khoa học &amp; Thu âm video demo kịch bản</t>
  </si>
  <si>
    <t>Chạy thử nghiệm tổng duyệt bảo vệ thử (Dry-run Defense &amp; Mock Q&amp;A)</t>
  </si>
  <si>
    <t>Tiếp thu góp ý của GVHD &amp; Hoàn thiện hồ sơ khóa luận hoàn chỉnh</t>
  </si>
  <si>
    <t>Bảo vệ khóa luận chính thức trước Hội đồng chấm thi tốt nghiệp</t>
  </si>
  <si>
    <t>Work Breakdown Structure With Gantt Chart Template</t>
  </si>
  <si>
    <t>Phase 1</t>
  </si>
  <si>
    <t>Phase 2</t>
  </si>
  <si>
    <t>Phase 3</t>
  </si>
  <si>
    <t>Phase 4</t>
  </si>
  <si>
    <t>Phase 5</t>
  </si>
</sst>
</file>

<file path=xl/styles.xml><?xml version="1.0" encoding="utf-8"?>
<ns0:styleSheet xmlns:ns0="http://schemas.openxmlformats.org/spreadsheetml/2006/main">
  <ns0:numFmts count="2">
    <ns0:numFmt numFmtId="164" formatCode="mm/dd/yyyy"/>
    <ns0:numFmt numFmtId="165" formatCode="m/d/yy"/>
  </ns0:numFmts>
  <ns0:fonts count="7">
    <ns0:font>
      <ns0:sz val="12.0"/>
      <ns0:color theme="1"/>
      <ns0:name val="Corbel"/>
      <ns0:scheme val="minor"/>
    </ns0:font>
    <ns0:font>
      <ns0:sz val="10.0"/>
      <ns0:color theme="1"/>
      <ns0:name val="Century Gothic"/>
    </ns0:font>
    <ns0:font>
      <ns0:b/>
      <ns0:sz val="24.0"/>
      <ns0:color rgb="FF001033"/>
      <ns0:name val="Century Gothic"/>
    </ns0:font>
    <ns0:font>
      <ns0:b/>
      <ns0:sz val="10.0"/>
      <ns0:color rgb="FF2F5496"/>
      <ns0:name val="Century Gothic"/>
    </ns0:font>
    <ns0:font>
      <ns0:b/>
      <ns0:sz val="10.0"/>
      <ns0:color theme="1"/>
      <ns0:name val="Century Gothic"/>
    </ns0:font>
    <ns0:font/>
    <ns0:font>
      <ns0:b/>
      <ns0:sz val="10.0"/>
      <ns0:color theme="0"/>
      <ns0:name val="Century Gothic"/>
    </ns0:font>
  </ns0:fonts>
  <ns0:fills count="25">
    <ns0:fill>
      <ns0:patternFill patternType="none"/>
    </ns0:fill>
    <ns0:fill>
      <ns0:patternFill patternType="lightGray"/>
    </ns0:fill>
    <ns0:fill>
      <ns0:patternFill patternType="solid">
        <ns0:fgColor theme="0"/>
        <ns0:bgColor theme="0"/>
      </ns0:patternFill>
    </ns0:fill>
    <ns0:fill>
      <ns0:patternFill patternType="solid">
        <ns0:fgColor rgb="FF8EAADB"/>
        <ns0:bgColor rgb="FF8EAADB"/>
      </ns0:patternFill>
    </ns0:fill>
    <ns0:fill>
      <ns0:patternFill patternType="solid">
        <ns0:fgColor rgb="FF1F3864"/>
        <ns0:bgColor rgb="FF1F3864"/>
      </ns0:patternFill>
    </ns0:fill>
    <ns0:fill>
      <ns0:patternFill patternType="solid">
        <ns0:fgColor rgb="FF833C0B"/>
        <ns0:bgColor rgb="FF833C0B"/>
      </ns0:patternFill>
    </ns0:fill>
    <ns0:fill>
      <ns0:patternFill patternType="solid">
        <ns0:fgColor rgb="FF525252"/>
        <ns0:bgColor rgb="FF525252"/>
      </ns0:patternFill>
    </ns0:fill>
    <ns0:fill>
      <ns0:patternFill patternType="solid">
        <ns0:fgColor rgb="FF7F6000"/>
        <ns0:bgColor rgb="FF7F6000"/>
      </ns0:patternFill>
    </ns0:fill>
    <ns0:fill>
      <ns0:patternFill patternType="solid">
        <ns0:fgColor rgb="FF2F5496"/>
        <ns0:bgColor rgb="FF2F5496"/>
      </ns0:patternFill>
    </ns0:fill>
    <ns0:fill>
      <ns0:patternFill patternType="solid">
        <ns0:fgColor rgb="FFC55A11"/>
        <ns0:bgColor rgb="FFC55A11"/>
      </ns0:patternFill>
    </ns0:fill>
    <ns0:fill>
      <ns0:patternFill patternType="solid">
        <ns0:fgColor rgb="FF7B7B7B"/>
        <ns0:bgColor rgb="FF7B7B7B"/>
      </ns0:patternFill>
    </ns0:fill>
    <ns0:fill>
      <ns0:patternFill patternType="solid">
        <ns0:fgColor rgb="FFBF9000"/>
        <ns0:bgColor rgb="FFBF9000"/>
      </ns0:patternFill>
    </ns0:fill>
    <ns0:fill>
      <ns0:patternFill patternType="solid">
        <ns0:fgColor rgb="FFB4C6E7"/>
        <ns0:bgColor rgb="FFB4C6E7"/>
      </ns0:patternFill>
    </ns0:fill>
    <ns0:fill>
      <ns0:patternFill patternType="solid">
        <ns0:fgColor rgb="FFF7CAAC"/>
        <ns0:bgColor rgb="FFF7CAAC"/>
      </ns0:patternFill>
    </ns0:fill>
    <ns0:fill>
      <ns0:patternFill patternType="solid">
        <ns0:fgColor rgb="FFDADADA"/>
        <ns0:bgColor rgb="FFDADADA"/>
      </ns0:patternFill>
    </ns0:fill>
    <ns0:fill>
      <ns0:patternFill patternType="solid">
        <ns0:fgColor rgb="FFFFE598"/>
        <ns0:bgColor rgb="FFFFE598"/>
      </ns0:patternFill>
    </ns0:fill>
    <ns0:fill>
      <ns0:patternFill patternType="solid">
        <ns0:fgColor rgb="FFD6DCE4"/>
        <ns0:bgColor rgb="FFD6DCE4"/>
      </ns0:patternFill>
    </ns0:fill>
    <ns0:fill>
      <ns0:patternFill patternType="solid">
        <ns0:fgColor rgb="FFD8D8D8"/>
        <ns0:bgColor rgb="FFD8D8D8"/>
      </ns0:patternFill>
    </ns0:fill>
    <ns0:fill>
      <ns0:patternFill patternType="solid">
        <ns0:fgColor theme="4"/>
        <ns0:bgColor theme="4"/>
      </ns0:patternFill>
    </ns0:fill>
    <ns0:fill>
      <ns0:patternFill patternType="solid">
        <ns0:fgColor rgb="FFD9E2F3"/>
        <ns0:bgColor rgb="FFD9E2F3"/>
      </ns0:patternFill>
    </ns0:fill>
    <ns0:fill>
      <ns0:patternFill patternType="solid">
        <ns0:fgColor rgb="FFFBE4D5"/>
        <ns0:bgColor rgb="FFFBE4D5"/>
      </ns0:patternFill>
    </ns0:fill>
    <ns0:fill>
      <ns0:patternFill patternType="solid">
        <ns0:fgColor rgb="FFECECEC"/>
        <ns0:bgColor rgb="FFECECEC"/>
      </ns0:patternFill>
    </ns0:fill>
    <ns0:fill>
      <ns0:patternFill patternType="solid">
        <ns0:fgColor rgb="FFFEF2CB"/>
        <ns0:bgColor rgb="FFFEF2CB"/>
      </ns0:patternFill>
    </ns0:fill>
    <ns0:fill>
      <ns0:patternFill patternType="solid">
        <ns0:fgColor theme="5"/>
        <ns0:bgColor theme="5"/>
      </ns0:patternFill>
    </ns0:fill>
    <ns0:fill>
      <ns0:patternFill patternType="solid">
        <ns0:fgColor rgb="FF375623"/>
        <ns0:bgColor indexed="64"/>
      </ns0:patternFill>
    </ns0:fill>
  </ns0:fills>
  <ns0:borders count="12">
    <ns0:border/>
    <ns0:border>
      <ns0:left/>
      <ns0:right/>
      <ns0:top/>
      <ns0:bottom/>
    </ns0:border>
    <ns0:border>
      <ns0:left style="thin">
        <ns0:color rgb="FFBFBFBF"/>
      </ns0:left>
      <ns0:right style="thin">
        <ns0:color rgb="FFBFBFBF"/>
      </ns0:right>
      <ns0:top style="thin">
        <ns0:color rgb="FFBFBFBF"/>
      </ns0:top>
      <ns0:bottom style="thin">
        <ns0:color rgb="FFBFBFBF"/>
      </ns0:bottom>
    </ns0:border>
    <ns0:border>
      <ns0:left style="thin">
        <ns0:color rgb="FFBFBFBF"/>
      </ns0:left>
      <ns0:top style="thin">
        <ns0:color rgb="FFBFBFBF"/>
      </ns0:top>
      <ns0:bottom style="thin">
        <ns0:color rgb="FFBFBFBF"/>
      </ns0:bottom>
    </ns0:border>
    <ns0:border>
      <ns0:right style="thin">
        <ns0:color rgb="FFBFBFBF"/>
      </ns0:right>
      <ns0:top style="thin">
        <ns0:color rgb="FFBFBFBF"/>
      </ns0:top>
      <ns0:bottom style="thin">
        <ns0:color rgb="FFBFBFBF"/>
      </ns0:bottom>
    </ns0:border>
    <ns0:border>
      <ns0:left style="thin">
        <ns0:color rgb="FFBFBFBF"/>
      </ns0:left>
      <ns0:right/>
      <ns0:top style="thin">
        <ns0:color rgb="FFBFBFBF"/>
      </ns0:top>
      <ns0:bottom style="thin">
        <ns0:color rgb="FFBFBFBF"/>
      </ns0:bottom>
    </ns0:border>
    <ns0:border>
      <ns0:left/>
      <ns0:right/>
      <ns0:top style="thin">
        <ns0:color rgb="FFBFBFBF"/>
      </ns0:top>
      <ns0:bottom style="thin">
        <ns0:color rgb="FFBFBFBF"/>
      </ns0:bottom>
    </ns0:border>
    <ns0:border>
      <ns0:left/>
      <ns0:right style="thin">
        <ns0:color rgb="FFBFBFBF"/>
      </ns0:right>
      <ns0:top style="thin">
        <ns0:color rgb="FFBFBFBF"/>
      </ns0:top>
      <ns0:bottom style="thin">
        <ns0:color rgb="FFBFBFBF"/>
      </ns0:bottom>
    </ns0:border>
    <ns0:border>
      <ns0:left style="thin">
        <ns0:color rgb="FFBFBFBF"/>
      </ns0:left>
      <ns0:right style="thin">
        <ns0:color rgb="FFBFBFBF"/>
      </ns0:right>
      <ns0:top style="thin">
        <ns0:color rgb="FFBFBFBF"/>
      </ns0:top>
    </ns0:border>
    <ns0:border>
      <ns0:left style="thin">
        <ns0:color rgb="FFBFBFBF"/>
      </ns0:left>
      <ns0:right style="thin">
        <ns0:color rgb="FFBFBFBF"/>
      </ns0:right>
      <ns0:bottom style="thin">
        <ns0:color rgb="FFBFBFBF"/>
      </ns0:bottom>
    </ns0:border>
    <ns0:border>
      <ns0:left/>
      <ns0:right style="thin">
        <ns0:color rgb="FFBFBFBF"/>
      </ns0:right>
      <ns0:top/>
      <ns0:bottom style="thin">
        <ns0:color rgb="FFBFBFBF"/>
      </ns0:bottom>
    </ns0:border>
    <ns0:border>
      <ns0:left style="thin">
        <ns0:color rgb="FFBFBFBF"/>
      </ns0:left>
      <ns0:right style="thin">
        <ns0:color rgb="FFBFBFBF"/>
      </ns0:right>
      <ns0:top/>
      <ns0:bottom style="thin">
        <ns0:color rgb="FFBFBFBF"/>
      </ns0:bottom>
    </ns0:border>
  </ns0:borders>
  <ns0:cellStyleXfs count="1">
    <ns0:xf borderId="0" fillId="0" fontId="0" numFmtId="0" applyAlignment="1" applyFont="1"/>
  </ns0:cellStyleXfs>
  <ns0:cellXfs count="65">
    <ns0:xf borderId="0" fillId="0" fontId="0" numFmtId="0" xfId="0" applyAlignment="1" applyFont="1">
      <ns0:alignment readingOrder="0" shrinkToFit="0" vertical="bottom" wrapText="0"/>
    </ns0:xf>
    <ns0:xf borderId="0" fillId="0" fontId="1" numFmtId="0" xfId="0" applyFont="1"/>
    <ns0:xf borderId="1" fillId="2" fontId="2" numFmtId="0" xfId="0" applyAlignment="1" applyBorder="1" applyFill="1" applyFont="1">
      <ns0:alignment vertical="center"/>
    </ns0:xf>
    <ns0:xf borderId="0" fillId="0" fontId="3" numFmtId="0" xfId="0" applyAlignment="1" applyFont="1">
      <ns0:alignment horizontal="left" vertical="center"/>
    </ns0:xf>
    <ns0:xf borderId="0" fillId="0" fontId="1" numFmtId="0" xfId="0" applyAlignment="1" applyFont="1">
      <ns0:alignment shrinkToFit="0" wrapText="1"/>
    </ns0:xf>
    <ns0:xf borderId="2" fillId="3" fontId="4" numFmtId="0" xfId="0" applyAlignment="1" applyBorder="1" applyFill="1" applyFont="1">
      <ns0:alignment horizontal="left" shrinkToFit="0" vertical="center" wrapText="1"/>
    </ns0:xf>
    <ns0:xf borderId="3" fillId="0" fontId="1" numFmtId="0" xfId="0" applyAlignment="1" applyBorder="1" applyFont="1">
      <ns0:alignment horizontal="left" shrinkToFit="0" vertical="center" wrapText="1"/>
    </ns0:xf>
    <ns0:xf borderId="4" fillId="0" fontId="5" numFmtId="0" xfId="0" applyBorder="1" applyFont="1"/>
    <ns0:xf borderId="0" fillId="0" fontId="1" numFmtId="0" xfId="0" applyAlignment="1" applyFont="1">
      <ns0:alignment horizontal="left" shrinkToFit="0" vertical="center" wrapText="1"/>
    </ns0:xf>
    <ns0:xf borderId="3" fillId="0" fontId="1" numFmtId="164" xfId="0" applyAlignment="1" applyBorder="1" applyFont="1" applyNumberFormat="1">
      <ns0:alignment horizontal="left" shrinkToFit="0" vertical="center" wrapText="1"/>
    </ns0:xf>
    <ns0:xf borderId="0" fillId="0" fontId="3" numFmtId="0" xfId="0" applyAlignment="1" applyFont="1">
      <ns0:alignment horizontal="left" shrinkToFit="0" vertical="center" wrapText="1"/>
    </ns0:xf>
    <ns0:xf borderId="5" fillId="4" fontId="6" numFmtId="0" xfId="0" applyAlignment="1" applyBorder="1" applyFill="1" applyFont="1">
      <ns0:alignment horizontal="left" vertical="center"/>
    </ns0:xf>
    <ns0:xf borderId="6" fillId="4" fontId="6" numFmtId="0" xfId="0" applyAlignment="1" applyBorder="1" applyFont="1">
      <ns0:alignment horizontal="left" vertical="center"/>
    </ns0:xf>
    <ns0:xf borderId="5" fillId="5" fontId="6" numFmtId="0" xfId="0" applyAlignment="1" applyBorder="1" applyFill="1" applyFont="1">
      <ns0:alignment horizontal="left" vertical="center"/>
    </ns0:xf>
    <ns0:xf borderId="6" fillId="5" fontId="6" numFmtId="0" xfId="0" applyAlignment="1" applyBorder="1" applyFont="1">
      <ns0:alignment horizontal="left" vertical="center"/>
    </ns0:xf>
    <ns0:xf borderId="5" fillId="6" fontId="6" numFmtId="0" xfId="0" applyAlignment="1" applyBorder="1" applyFill="1" applyFont="1">
      <ns0:alignment horizontal="left" vertical="center"/>
    </ns0:xf>
    <ns0:xf borderId="6" fillId="6" fontId="6" numFmtId="0" xfId="0" applyAlignment="1" applyBorder="1" applyFont="1">
      <ns0:alignment horizontal="left" vertical="center"/>
    </ns0:xf>
    <ns0:xf borderId="5" fillId="7" fontId="6" numFmtId="0" xfId="0" applyAlignment="1" applyBorder="1" applyFill="1" applyFont="1">
      <ns0:alignment horizontal="left" vertical="center"/>
    </ns0:xf>
    <ns0:xf borderId="6" fillId="7" fontId="6" numFmtId="0" xfId="0" applyAlignment="1" applyBorder="1" applyFont="1">
      <ns0:alignment horizontal="left" vertical="center"/>
    </ns0:xf>
    <ns0:xf borderId="7" fillId="7" fontId="6" numFmtId="0" xfId="0" applyAlignment="1" applyBorder="1" applyFont="1">
      <ns0:alignment horizontal="left" vertical="center"/>
    </ns0:xf>
    <ns0:xf borderId="1" fillId="2" fontId="1" numFmtId="0" xfId="0" applyAlignment="1" applyBorder="1" applyFont="1">
      <ns0:alignment shrinkToFit="0" wrapText="1"/>
    </ns0:xf>
    <ns0:xf borderId="1" fillId="2" fontId="4" numFmtId="0" xfId="0" applyAlignment="1" applyBorder="1" applyFont="1">
      <ns0:alignment horizontal="center" shrinkToFit="0" vertical="center" wrapText="1"/>
    </ns0:xf>
    <ns0:xf borderId="8" fillId="3" fontId="4" numFmtId="0" xfId="0" applyAlignment="1" applyBorder="1" applyFont="1">
      <ns0:alignment horizontal="left" shrinkToFit="0" vertical="center" wrapText="1"/>
    </ns0:xf>
    <ns0:xf borderId="5" fillId="8" fontId="6" numFmtId="0" xfId="0" applyAlignment="1" applyBorder="1" applyFill="1" applyFont="1">
      <ns0:alignment horizontal="left" vertical="center"/>
    </ns0:xf>
    <ns0:xf borderId="6" fillId="8" fontId="6" numFmtId="0" xfId="0" applyAlignment="1" applyBorder="1" applyFont="1">
      <ns0:alignment horizontal="left" vertical="center"/>
    </ns0:xf>
    <ns0:xf borderId="7" fillId="8" fontId="6" numFmtId="0" xfId="0" applyAlignment="1" applyBorder="1" applyFont="1">
      <ns0:alignment horizontal="left" vertical="center"/>
    </ns0:xf>
    <ns0:xf borderId="5" fillId="9" fontId="6" numFmtId="0" xfId="0" applyAlignment="1" applyBorder="1" applyFill="1" applyFont="1">
      <ns0:alignment horizontal="left" vertical="center"/>
    </ns0:xf>
    <ns0:xf borderId="6" fillId="9" fontId="6" numFmtId="0" xfId="0" applyAlignment="1" applyBorder="1" applyFont="1">
      <ns0:alignment horizontal="left" vertical="center"/>
    </ns0:xf>
    <ns0:xf borderId="7" fillId="9" fontId="6" numFmtId="0" xfId="0" applyAlignment="1" applyBorder="1" applyFont="1">
      <ns0:alignment horizontal="left" vertical="center"/>
    </ns0:xf>
    <ns0:xf borderId="5" fillId="10" fontId="6" numFmtId="0" xfId="0" applyAlignment="1" applyBorder="1" applyFill="1" applyFont="1">
      <ns0:alignment horizontal="left" vertical="center"/>
    </ns0:xf>
    <ns0:xf borderId="6" fillId="10" fontId="6" numFmtId="0" xfId="0" applyAlignment="1" applyBorder="1" applyFont="1">
      <ns0:alignment horizontal="left" vertical="center"/>
    </ns0:xf>
    <ns0:xf borderId="5" fillId="11" fontId="6" numFmtId="0" xfId="0" applyAlignment="1" applyBorder="1" applyFill="1" applyFont="1">
      <ns0:alignment horizontal="left" vertical="center"/>
    </ns0:xf>
    <ns0:xf borderId="6" fillId="11" fontId="6" numFmtId="0" xfId="0" applyAlignment="1" applyBorder="1" applyFont="1">
      <ns0:alignment horizontal="left" vertical="center"/>
    </ns0:xf>
    <ns0:xf borderId="7" fillId="11" fontId="6" numFmtId="0" xfId="0" applyAlignment="1" applyBorder="1" applyFont="1">
      <ns0:alignment horizontal="left" vertical="center"/>
    </ns0:xf>
    <ns0:xf borderId="9" fillId="0" fontId="5" numFmtId="0" xfId="0" applyBorder="1" applyFont="1"/>
    <ns0:xf borderId="10" fillId="12" fontId="4" numFmtId="0" xfId="0" applyAlignment="1" applyBorder="1" applyFill="1" applyFont="1">
      <ns0:alignment horizontal="center" shrinkToFit="0" vertical="center" wrapText="1"/>
    </ns0:xf>
    <ns0:xf borderId="11" fillId="12" fontId="4" numFmtId="0" xfId="0" applyAlignment="1" applyBorder="1" applyFont="1">
      <ns0:alignment horizontal="center" shrinkToFit="0" vertical="center" wrapText="1"/>
    </ns0:xf>
    <ns0:xf borderId="2" fillId="12" fontId="4" numFmtId="0" xfId="0" applyAlignment="1" applyBorder="1" applyFont="1">
      <ns0:alignment horizontal="center" shrinkToFit="0" vertical="center" wrapText="1"/>
    </ns0:xf>
    <ns0:xf borderId="11" fillId="13" fontId="4" numFmtId="0" xfId="0" applyAlignment="1" applyBorder="1" applyFill="1" applyFont="1">
      <ns0:alignment horizontal="center" shrinkToFit="0" vertical="center" wrapText="1"/>
    </ns0:xf>
    <ns0:xf borderId="11" fillId="14" fontId="4" numFmtId="0" xfId="0" applyAlignment="1" applyBorder="1" applyFill="1" applyFont="1">
      <ns0:alignment horizontal="center" shrinkToFit="0" vertical="center" wrapText="1"/>
    </ns0:xf>
    <ns0:xf borderId="11" fillId="15" fontId="4" numFmtId="0" xfId="0" applyAlignment="1" applyBorder="1" applyFill="1" applyFont="1">
      <ns0:alignment horizontal="center" shrinkToFit="0" vertical="center" wrapText="1"/>
    </ns0:xf>
    <ns0:xf borderId="11" fillId="16" fontId="1" numFmtId="49" xfId="0" applyAlignment="1" applyBorder="1" applyFill="1" applyFont="1" applyNumberFormat="1">
      <ns0:alignment horizontal="left" shrinkToFit="0" vertical="center" wrapText="1"/>
    </ns0:xf>
    <ns0:xf borderId="11" fillId="17" fontId="1" numFmtId="0" xfId="0" applyAlignment="1" applyBorder="1" applyFill="1" applyFont="1">
      <ns0:alignment horizontal="left" shrinkToFit="0" vertical="center" wrapText="1"/>
    </ns0:xf>
    <ns0:xf borderId="11" fillId="17" fontId="1" numFmtId="165" xfId="0" applyAlignment="1" applyBorder="1" applyFont="1" applyNumberFormat="1">
      <ns0:alignment horizontal="center" shrinkToFit="0" vertical="center" wrapText="1"/>
    </ns0:xf>
    <ns0:xf borderId="11" fillId="17" fontId="1" numFmtId="1" xfId="0" applyAlignment="1" applyBorder="1" applyFont="1" applyNumberFormat="1">
      <ns0:alignment horizontal="center" shrinkToFit="0" vertical="center" wrapText="1"/>
    </ns0:xf>
    <ns0:xf borderId="11" fillId="17" fontId="4" numFmtId="9" xfId="0" applyAlignment="1" applyBorder="1" applyFont="1" applyNumberFormat="1">
      <ns0:alignment horizontal="center" shrinkToFit="0" vertical="center" wrapText="1"/>
    </ns0:xf>
    <ns0:xf borderId="2" fillId="17" fontId="1" numFmtId="0" xfId="0" applyAlignment="1" applyBorder="1" applyFont="1">
      <ns0:alignment shrinkToFit="0" wrapText="1"/>
    </ns0:xf>
    <ns0:xf borderId="2" fillId="16" fontId="1" numFmtId="49" xfId="0" applyAlignment="1" applyBorder="1" applyFont="1" applyNumberFormat="1">
      <ns0:alignment horizontal="left" shrinkToFit="0" vertical="center" wrapText="1"/>
    </ns0:xf>
    <ns0:xf borderId="2" fillId="0" fontId="1" numFmtId="0" xfId="0" applyAlignment="1" applyBorder="1" applyFont="1">
      <ns0:alignment horizontal="left" shrinkToFit="0" vertical="center" wrapText="1"/>
    </ns0:xf>
    <ns0:xf borderId="2" fillId="0" fontId="1" numFmtId="165" xfId="0" applyAlignment="1" applyBorder="1" applyFont="1" applyNumberFormat="1">
      <ns0:alignment horizontal="center" shrinkToFit="0" vertical="center" wrapText="1"/>
    </ns0:xf>
    <ns0:xf borderId="2" fillId="0" fontId="1" numFmtId="1" xfId="0" applyAlignment="1" applyBorder="1" applyFont="1" applyNumberFormat="1">
      <ns0:alignment horizontal="center" shrinkToFit="0" vertical="center" wrapText="1"/>
    </ns0:xf>
    <ns0:xf borderId="2" fillId="0" fontId="4" numFmtId="9" xfId="0" applyAlignment="1" applyBorder="1" applyFont="1" applyNumberFormat="1">
      <ns0:alignment horizontal="center" shrinkToFit="0" vertical="center" wrapText="1"/>
    </ns0:xf>
    <ns0:xf borderId="2" fillId="0" fontId="1" numFmtId="0" xfId="0" applyAlignment="1" applyBorder="1" applyFont="1">
      <ns0:alignment shrinkToFit="0" wrapText="1"/>
    </ns0:xf>
    <ns0:xf borderId="2" fillId="18" fontId="1" numFmtId="0" xfId="0" applyAlignment="1" applyBorder="1" applyFill="1" applyFont="1">
      <ns0:alignment shrinkToFit="0" wrapText="1"/>
    </ns0:xf>
    <ns0:xf borderId="2" fillId="19" fontId="1" numFmtId="0" xfId="0" applyAlignment="1" applyBorder="1" applyFill="1" applyFont="1">
      <ns0:alignment shrinkToFit="0" wrapText="1"/>
    </ns0:xf>
    <ns0:xf borderId="2" fillId="20" fontId="1" numFmtId="0" xfId="0" applyAlignment="1" applyBorder="1" applyFill="1" applyFont="1">
      <ns0:alignment shrinkToFit="0" wrapText="1"/>
    </ns0:xf>
    <ns0:xf borderId="2" fillId="21" fontId="1" numFmtId="0" xfId="0" applyAlignment="1" applyBorder="1" applyFill="1" applyFont="1">
      <ns0:alignment shrinkToFit="0" wrapText="1"/>
    </ns0:xf>
    <ns0:xf borderId="2" fillId="22" fontId="1" numFmtId="0" xfId="0" applyAlignment="1" applyBorder="1" applyFill="1" applyFont="1">
      <ns0:alignment shrinkToFit="0" wrapText="1"/>
    </ns0:xf>
    <ns0:xf borderId="2" fillId="17" fontId="1" numFmtId="0" xfId="0" applyAlignment="1" applyBorder="1" applyFont="1">
      <ns0:alignment horizontal="left" shrinkToFit="0" vertical="center" wrapText="1"/>
    </ns0:xf>
    <ns0:xf borderId="2" fillId="17" fontId="1" numFmtId="165" xfId="0" applyAlignment="1" applyBorder="1" applyFont="1" applyNumberFormat="1">
      <ns0:alignment horizontal="center" shrinkToFit="0" vertical="center" wrapText="1"/>
    </ns0:xf>
    <ns0:xf borderId="2" fillId="17" fontId="1" numFmtId="14" xfId="0" applyAlignment="1" applyBorder="1" applyFont="1" applyNumberFormat="1">
      <ns0:alignment horizontal="center" shrinkToFit="0" vertical="center" wrapText="1"/>
    </ns0:xf>
    <ns0:xf borderId="2" fillId="17" fontId="4" numFmtId="9" xfId="0" applyAlignment="1" applyBorder="1" applyFont="1" applyNumberFormat="1">
      <ns0:alignment horizontal="center" shrinkToFit="0" vertical="center" wrapText="1"/>
    </ns0:xf>
    <ns0:xf borderId="2" fillId="23" fontId="1" numFmtId="0" xfId="0" applyAlignment="1" applyBorder="1" applyFill="1" applyFont="1">
      <ns0:alignment shrinkToFit="0" wrapText="1"/>
    </ns0:xf>
    <ns0:xf applyAlignment="1" applyBorder="1" applyFill="1" applyFont="1" borderId="5" fillId="24" fontId="6" numFmtId="0" xfId="0">
      <ns0:alignment horizontal="left" vertical="center"/>
    </ns0:xf>
    <ns0:xf applyAlignment="1" applyBorder="1" applyFill="1" applyFont="1" borderId="6" fillId="24" fontId="6" numFmtId="0" xfId="0">
      <ns0:alignment horizontal="left" vertical="center"/>
    </ns0:xf>
  </ns0:cellXfs>
  <ns0:cellStyles count="1">
    <ns0:cellStyle xfId="0" name="Normal" builtinId="0"/>
  </ns0:cellStyles>
  <ns0:dxfs count="0"/>
</ns0: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Views>
    <sheetView tabSelected="1" workbookViewId="0"/>
  </sheetViews>
  <sheetFormatPr defaultRowHeight="15.0" x14ac:dyDescent="0.25"/>
  <cols>
    <col min="1" max="1" width="3.22" customWidth="1"/>
    <col min="2" max="2" width="12.0" customWidth="1"/>
    <col min="3" max="3" width="52.0" customWidth="1"/>
    <col min="4" max="4" width="28.0" customWidth="1"/>
    <col min="5" max="6" width="12.0" customWidth="1"/>
    <col min="7" max="7" width="10.0" customWidth="1"/>
    <col min="8" max="8" width="12.0" customWidth="1"/>
    <col min="9" max="113" width="3.0" customWidth="1"/>
  </cols>
  <sheetData>
    <row r="1" ht="36.0" customHeight="1">
      <c r="A1" s="4"/>
      <c r="B1" s="0" t="s">
        <v>0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</row>
    <row r="2" ht="18.0" customHeight="1">
      <c r="A2" s="4"/>
      <c r="B2" s="3" t="s">
        <v>1</v>
      </c>
      <c r="C2" s="20" t="s">
        <v>2</v>
      </c>
      <c r="D2" s="2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</row>
    <row r="3" ht="18.0" customHeight="1">
      <c r="A3" s="4"/>
      <c r="B3" s="3" t="s">
        <v>3</v>
      </c>
      <c r="C3" s="20" t="s">
        <v>4</v>
      </c>
      <c r="D3" s="2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</row>
    <row r="4" ht="18.0" customHeight="1">
      <c r="A4" s="4"/>
      <c r="B4" s="3" t="s">
        <v>5</v>
      </c>
      <c r="C4" s="20" t="s">
        <v>6</v>
      </c>
      <c r="D4" s="2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</row>
    <row r="5" ht="20.0" customHeight="1">
      <c r="A5" s="4"/>
      <c r="B5" s="3" t="s">
        <v>7</v>
      </c>
      <c r="C5" s="21" t="s">
        <v>8</v>
      </c>
      <c r="D5" s="21"/>
      <c r="E5" s="0"/>
      <c r="F5" s="0"/>
      <c r="G5" s="0"/>
      <c r="H5" s="0"/>
      <c r="I5" s="11" t="s">
        <v>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 t="s">
        <v>10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5" t="s">
        <v>11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7" t="s">
        <v>12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63" t="s">
        <v>13</v>
      </c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ht="18.0" customHeight="1">
      <c r="A7" s="4"/>
      <c r="B7" s="22" t="s">
        <v>14</v>
      </c>
      <c r="C7" s="22" t="s">
        <v>15</v>
      </c>
      <c r="D7" s="22" t="s">
        <v>16</v>
      </c>
      <c r="E7" s="22" t="s">
        <v>17</v>
      </c>
      <c r="F7" s="22" t="s">
        <v>18</v>
      </c>
      <c r="G7" s="22" t="s">
        <v>19</v>
      </c>
      <c r="H7" s="22" t="s">
        <v>20</v>
      </c>
      <c r="I7" s="52" t="s">
        <v>21</v>
      </c>
      <c r="J7" s="52"/>
      <c r="K7" s="52"/>
      <c r="L7" s="52"/>
      <c r="M7" s="52"/>
      <c r="N7" s="52"/>
      <c r="O7" s="52"/>
      <c r="P7" s="52" t="s">
        <v>22</v>
      </c>
      <c r="Q7" s="52"/>
      <c r="R7" s="52"/>
      <c r="S7" s="52"/>
      <c r="T7" s="52"/>
      <c r="U7" s="52"/>
      <c r="V7" s="52"/>
      <c r="W7" s="52" t="s">
        <v>23</v>
      </c>
      <c r="X7" s="52"/>
      <c r="Y7" s="52"/>
      <c r="Z7" s="52"/>
      <c r="AA7" s="52"/>
      <c r="AB7" s="52"/>
      <c r="AC7" s="52"/>
      <c r="AD7" s="52" t="s">
        <v>24</v>
      </c>
      <c r="AE7" s="52"/>
      <c r="AF7" s="52"/>
      <c r="AG7" s="52"/>
      <c r="AH7" s="52"/>
      <c r="AI7" s="52"/>
      <c r="AJ7" s="52"/>
      <c r="AK7" s="52" t="s">
        <v>25</v>
      </c>
      <c r="AL7" s="52"/>
      <c r="AM7" s="52"/>
      <c r="AN7" s="52"/>
      <c r="AO7" s="52"/>
      <c r="AP7" s="52"/>
      <c r="AQ7" s="52"/>
      <c r="AR7" s="52" t="s">
        <v>26</v>
      </c>
      <c r="AS7" s="52"/>
      <c r="AT7" s="52"/>
      <c r="AU7" s="52"/>
      <c r="AV7" s="52"/>
      <c r="AW7" s="52"/>
      <c r="AX7" s="52"/>
      <c r="AY7" s="52" t="s">
        <v>27</v>
      </c>
      <c r="AZ7" s="52"/>
      <c r="BA7" s="52"/>
      <c r="BB7" s="52"/>
      <c r="BC7" s="52"/>
      <c r="BD7" s="52"/>
      <c r="BE7" s="52"/>
      <c r="BF7" s="52" t="s">
        <v>28</v>
      </c>
      <c r="BG7" s="52"/>
      <c r="BH7" s="52"/>
      <c r="BI7" s="52"/>
      <c r="BJ7" s="52"/>
      <c r="BK7" s="52"/>
      <c r="BL7" s="52"/>
      <c r="BM7" s="52" t="s">
        <v>29</v>
      </c>
      <c r="BN7" s="52"/>
      <c r="BO7" s="52"/>
      <c r="BP7" s="52"/>
      <c r="BQ7" s="52"/>
      <c r="BR7" s="52"/>
      <c r="BS7" s="52"/>
      <c r="BT7" s="52" t="s">
        <v>30</v>
      </c>
      <c r="BU7" s="52"/>
      <c r="BV7" s="52"/>
      <c r="BW7" s="52"/>
      <c r="BX7" s="52"/>
      <c r="BY7" s="52"/>
      <c r="BZ7" s="52"/>
      <c r="CA7" s="52" t="s">
        <v>31</v>
      </c>
      <c r="CB7" s="52"/>
      <c r="CC7" s="52"/>
      <c r="CD7" s="52"/>
      <c r="CE7" s="52"/>
      <c r="CF7" s="52"/>
      <c r="CG7" s="52"/>
      <c r="CH7" s="52" t="s">
        <v>32</v>
      </c>
      <c r="CI7" s="52"/>
      <c r="CJ7" s="52"/>
      <c r="CK7" s="52"/>
      <c r="CL7" s="52"/>
      <c r="CM7" s="52"/>
      <c r="CN7" s="52"/>
      <c r="CO7" s="52" t="s">
        <v>33</v>
      </c>
      <c r="CP7" s="52"/>
      <c r="CQ7" s="52"/>
      <c r="CR7" s="52"/>
      <c r="CS7" s="52"/>
      <c r="CT7" s="52"/>
      <c r="CU7" s="52"/>
      <c r="CV7" s="52" t="s">
        <v>34</v>
      </c>
      <c r="CW7" s="52"/>
      <c r="CX7" s="52"/>
      <c r="CY7" s="52"/>
      <c r="CZ7" s="52"/>
      <c r="DA7" s="52"/>
      <c r="DB7" s="52"/>
      <c r="DC7" s="52" t="s">
        <v>35</v>
      </c>
      <c r="DD7" s="52"/>
      <c r="DE7" s="52"/>
      <c r="DF7" s="52"/>
      <c r="DG7" s="52"/>
      <c r="DH7" s="52"/>
      <c r="DI7" s="52"/>
    </row>
    <row r="8" ht="18.0" customHeight="1">
      <c r="A8" s="4"/>
      <c r="B8" s="34"/>
      <c r="C8" s="34"/>
      <c r="D8" s="34"/>
      <c r="E8" s="34"/>
      <c r="F8" s="34"/>
      <c r="G8" s="34"/>
      <c r="H8" s="34"/>
      <c r="I8" s="35" t="s">
        <v>36</v>
      </c>
      <c r="J8" s="36" t="s">
        <v>37</v>
      </c>
      <c r="K8" s="36" t="s">
        <v>38</v>
      </c>
      <c r="L8" s="36" t="s">
        <v>39</v>
      </c>
      <c r="M8" s="36" t="s">
        <v>40</v>
      </c>
      <c r="N8" s="36" t="s">
        <v>41</v>
      </c>
      <c r="O8" s="37" t="s">
        <v>42</v>
      </c>
      <c r="P8" s="35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 t="s">
        <v>41</v>
      </c>
      <c r="V8" s="37" t="s">
        <v>42</v>
      </c>
      <c r="W8" s="35" t="s">
        <v>36</v>
      </c>
      <c r="X8" s="36" t="s">
        <v>37</v>
      </c>
      <c r="Y8" s="36" t="s">
        <v>38</v>
      </c>
      <c r="Z8" s="36" t="s">
        <v>39</v>
      </c>
      <c r="AA8" s="36" t="s">
        <v>40</v>
      </c>
      <c r="AB8" s="36" t="s">
        <v>41</v>
      </c>
      <c r="AC8" s="37" t="s">
        <v>42</v>
      </c>
      <c r="AD8" s="35" t="s">
        <v>36</v>
      </c>
      <c r="AE8" s="36" t="s">
        <v>37</v>
      </c>
      <c r="AF8" s="36" t="s">
        <v>38</v>
      </c>
      <c r="AG8" s="36" t="s">
        <v>39</v>
      </c>
      <c r="AH8" s="36" t="s">
        <v>40</v>
      </c>
      <c r="AI8" s="36" t="s">
        <v>41</v>
      </c>
      <c r="AJ8" s="37" t="s">
        <v>42</v>
      </c>
      <c r="AK8" s="35" t="s">
        <v>36</v>
      </c>
      <c r="AL8" s="36" t="s">
        <v>37</v>
      </c>
      <c r="AM8" s="36" t="s">
        <v>38</v>
      </c>
      <c r="AN8" s="36" t="s">
        <v>39</v>
      </c>
      <c r="AO8" s="36" t="s">
        <v>40</v>
      </c>
      <c r="AP8" s="36" t="s">
        <v>41</v>
      </c>
      <c r="AQ8" s="37" t="s">
        <v>42</v>
      </c>
      <c r="AR8" s="35" t="s">
        <v>36</v>
      </c>
      <c r="AS8" s="36" t="s">
        <v>37</v>
      </c>
      <c r="AT8" s="36" t="s">
        <v>38</v>
      </c>
      <c r="AU8" s="36" t="s">
        <v>39</v>
      </c>
      <c r="AV8" s="36" t="s">
        <v>40</v>
      </c>
      <c r="AW8" s="36" t="s">
        <v>41</v>
      </c>
      <c r="AX8" s="37" t="s">
        <v>42</v>
      </c>
      <c r="AY8" s="35" t="s">
        <v>36</v>
      </c>
      <c r="AZ8" s="36" t="s">
        <v>37</v>
      </c>
      <c r="BA8" s="36" t="s">
        <v>38</v>
      </c>
      <c r="BB8" s="36" t="s">
        <v>39</v>
      </c>
      <c r="BC8" s="36" t="s">
        <v>40</v>
      </c>
      <c r="BD8" s="36" t="s">
        <v>41</v>
      </c>
      <c r="BE8" s="37" t="s">
        <v>42</v>
      </c>
      <c r="BF8" s="35" t="s">
        <v>36</v>
      </c>
      <c r="BG8" s="36" t="s">
        <v>37</v>
      </c>
      <c r="BH8" s="36" t="s">
        <v>38</v>
      </c>
      <c r="BI8" s="36" t="s">
        <v>39</v>
      </c>
      <c r="BJ8" s="36" t="s">
        <v>40</v>
      </c>
      <c r="BK8" s="36" t="s">
        <v>41</v>
      </c>
      <c r="BL8" s="37" t="s">
        <v>42</v>
      </c>
      <c r="BM8" s="35" t="s">
        <v>36</v>
      </c>
      <c r="BN8" s="36" t="s">
        <v>37</v>
      </c>
      <c r="BO8" s="36" t="s">
        <v>38</v>
      </c>
      <c r="BP8" s="36" t="s">
        <v>39</v>
      </c>
      <c r="BQ8" s="36" t="s">
        <v>40</v>
      </c>
      <c r="BR8" s="36" t="s">
        <v>41</v>
      </c>
      <c r="BS8" s="37" t="s">
        <v>42</v>
      </c>
      <c r="BT8" s="35" t="s">
        <v>36</v>
      </c>
      <c r="BU8" s="36" t="s">
        <v>37</v>
      </c>
      <c r="BV8" s="36" t="s">
        <v>38</v>
      </c>
      <c r="BW8" s="36" t="s">
        <v>39</v>
      </c>
      <c r="BX8" s="36" t="s">
        <v>40</v>
      </c>
      <c r="BY8" s="36" t="s">
        <v>41</v>
      </c>
      <c r="BZ8" s="37" t="s">
        <v>42</v>
      </c>
      <c r="CA8" s="35" t="s">
        <v>36</v>
      </c>
      <c r="CB8" s="36" t="s">
        <v>37</v>
      </c>
      <c r="CC8" s="36" t="s">
        <v>38</v>
      </c>
      <c r="CD8" s="36" t="s">
        <v>39</v>
      </c>
      <c r="CE8" s="36" t="s">
        <v>40</v>
      </c>
      <c r="CF8" s="36" t="s">
        <v>41</v>
      </c>
      <c r="CG8" s="37" t="s">
        <v>42</v>
      </c>
      <c r="CH8" s="35" t="s">
        <v>36</v>
      </c>
      <c r="CI8" s="36" t="s">
        <v>37</v>
      </c>
      <c r="CJ8" s="36" t="s">
        <v>38</v>
      </c>
      <c r="CK8" s="36" t="s">
        <v>39</v>
      </c>
      <c r="CL8" s="36" t="s">
        <v>40</v>
      </c>
      <c r="CM8" s="36" t="s">
        <v>41</v>
      </c>
      <c r="CN8" s="37" t="s">
        <v>42</v>
      </c>
      <c r="CO8" s="35" t="s">
        <v>36</v>
      </c>
      <c r="CP8" s="36" t="s">
        <v>37</v>
      </c>
      <c r="CQ8" s="36" t="s">
        <v>38</v>
      </c>
      <c r="CR8" s="36" t="s">
        <v>39</v>
      </c>
      <c r="CS8" s="36" t="s">
        <v>40</v>
      </c>
      <c r="CT8" s="36" t="s">
        <v>41</v>
      </c>
      <c r="CU8" s="37" t="s">
        <v>42</v>
      </c>
      <c r="CV8" s="35" t="s">
        <v>36</v>
      </c>
      <c r="CW8" s="36" t="s">
        <v>37</v>
      </c>
      <c r="CX8" s="36" t="s">
        <v>38</v>
      </c>
      <c r="CY8" s="36" t="s">
        <v>39</v>
      </c>
      <c r="CZ8" s="36" t="s">
        <v>40</v>
      </c>
      <c r="DA8" s="36" t="s">
        <v>41</v>
      </c>
      <c r="DB8" s="37" t="s">
        <v>42</v>
      </c>
      <c r="DC8" s="35" t="s">
        <v>36</v>
      </c>
      <c r="DD8" s="36" t="s">
        <v>37</v>
      </c>
      <c r="DE8" s="36" t="s">
        <v>38</v>
      </c>
      <c r="DF8" s="36" t="s">
        <v>39</v>
      </c>
      <c r="DG8" s="36" t="s">
        <v>40</v>
      </c>
      <c r="DH8" s="36" t="s">
        <v>41</v>
      </c>
      <c r="DI8" s="37" t="s">
        <v>42</v>
      </c>
    </row>
    <row r="9" ht="20.0" customHeight="1">
      <c r="A9" s="4"/>
      <c r="B9" s="41">
        <v>1.0</v>
      </c>
      <c r="C9" s="42" t="s">
        <v>43</v>
      </c>
      <c r="D9" s="42"/>
      <c r="E9" s="43">
        <f>MIN(E10:E12)</f>
      </c>
      <c r="F9" s="43">
        <f>MAX(F10:F12)</f>
      </c>
      <c r="G9" s="44">
        <f>DAYS(F9,E9)+1</f>
      </c>
      <c r="H9" s="45">
        <f>AVERAGE(H10:H12)</f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</row>
    <row r="10" ht="18.0" customHeight="1">
      <c r="A10" s="4"/>
      <c r="B10" s="47">
        <v>1.1</v>
      </c>
      <c r="C10" s="48" t="s">
        <v>44</v>
      </c>
      <c r="D10" s="48" t="s">
        <v>45</v>
      </c>
      <c r="E10" s="49">
        <v>46262</v>
      </c>
      <c r="F10" s="49">
        <v>46267</v>
      </c>
      <c r="G10" s="50">
        <f>DAYS(F10,E10)+1</f>
        <v>6</v>
      </c>
      <c r="H10" s="51">
        <v>1.00</v>
      </c>
      <c r="I10" s="55"/>
      <c r="J10" s="55"/>
      <c r="K10" s="55"/>
      <c r="L10" s="55"/>
      <c r="M10" s="55"/>
      <c r="N10" s="55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</row>
    <row r="11" ht="18.0" customHeight="1">
      <c r="A11" s="4"/>
      <c r="B11" s="47">
        <v>1.2</v>
      </c>
      <c r="C11" s="48" t="s">
        <v>46</v>
      </c>
      <c r="D11" s="48" t="s">
        <v>47</v>
      </c>
      <c r="E11" s="49">
        <v>46266</v>
      </c>
      <c r="F11" s="49">
        <v>46270</v>
      </c>
      <c r="G11" s="50">
        <f>DAYS(F11,E11)+1</f>
        <v>5</v>
      </c>
      <c r="H11" s="51">
        <v>1.00</v>
      </c>
      <c r="I11" s="52"/>
      <c r="J11" s="52"/>
      <c r="K11" s="52"/>
      <c r="L11" s="52"/>
      <c r="M11" s="55"/>
      <c r="N11" s="55"/>
      <c r="O11" s="55"/>
      <c r="P11" s="55"/>
      <c r="Q11" s="55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</row>
    <row r="12" ht="18.0" customHeight="1">
      <c r="A12" s="4"/>
      <c r="B12" s="47">
        <v>1.3</v>
      </c>
      <c r="C12" s="48" t="s">
        <v>48</v>
      </c>
      <c r="D12" s="48" t="s">
        <v>45</v>
      </c>
      <c r="E12" s="49">
        <v>46269</v>
      </c>
      <c r="F12" s="49">
        <v>46273</v>
      </c>
      <c r="G12" s="50">
        <f>DAYS(F12,E12)+1</f>
        <v>5</v>
      </c>
      <c r="H12" s="51">
        <v>1.00</v>
      </c>
      <c r="I12" s="52"/>
      <c r="J12" s="52"/>
      <c r="K12" s="52"/>
      <c r="L12" s="52"/>
      <c r="M12" s="52"/>
      <c r="N12" s="52"/>
      <c r="O12" s="52"/>
      <c r="P12" s="55"/>
      <c r="Q12" s="55"/>
      <c r="R12" s="55"/>
      <c r="S12" s="55"/>
      <c r="T12" s="55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</row>
    <row r="13" ht="20.0" customHeight="1">
      <c r="A13" s="4"/>
      <c r="B13" s="41">
        <v>2.0</v>
      </c>
      <c r="C13" s="42" t="s">
        <v>49</v>
      </c>
      <c r="D13" s="42"/>
      <c r="E13" s="43">
        <f>MIN(E14:E17)</f>
      </c>
      <c r="F13" s="43">
        <f>MAX(F14:F17)</f>
      </c>
      <c r="G13" s="44">
        <f>DAYS(F13,E13)+1</f>
      </c>
      <c r="H13" s="45">
        <f>AVERAGE(H14:H17)</f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</row>
    <row r="14" ht="18.0" customHeight="1">
      <c r="A14" s="4"/>
      <c r="B14" s="47">
        <v>2.1</v>
      </c>
      <c r="C14" s="48" t="s">
        <v>50</v>
      </c>
      <c r="D14" s="48" t="s">
        <v>47</v>
      </c>
      <c r="E14" s="49">
        <v>46271</v>
      </c>
      <c r="F14" s="49">
        <v>46277</v>
      </c>
      <c r="G14" s="50">
        <f>DAYS(F14,E14)+1</f>
        <v>7</v>
      </c>
      <c r="H14" s="51">
        <v>1.00</v>
      </c>
      <c r="I14" s="52"/>
      <c r="J14" s="52"/>
      <c r="K14" s="52"/>
      <c r="L14" s="52"/>
      <c r="M14" s="52"/>
      <c r="N14" s="52"/>
      <c r="O14" s="52"/>
      <c r="P14" s="52"/>
      <c r="Q14" s="52"/>
      <c r="R14" s="55"/>
      <c r="S14" s="55"/>
      <c r="T14" s="55"/>
      <c r="U14" s="55"/>
      <c r="V14" s="55"/>
      <c r="W14" s="55"/>
      <c r="X14" s="55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</row>
    <row r="15" ht="18.0" customHeight="1">
      <c r="A15" s="4"/>
      <c r="B15" s="47">
        <v>2.2</v>
      </c>
      <c r="C15" s="48" t="s">
        <v>51</v>
      </c>
      <c r="D15" s="48" t="s">
        <v>47</v>
      </c>
      <c r="E15" s="49">
        <v>46274</v>
      </c>
      <c r="F15" s="49">
        <v>46279</v>
      </c>
      <c r="G15" s="50">
        <f>DAYS(F15,E15)+1</f>
        <v>6</v>
      </c>
      <c r="H15" s="51">
        <v>1.00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5"/>
      <c r="V15" s="55"/>
      <c r="W15" s="55"/>
      <c r="X15" s="55"/>
      <c r="Y15" s="55"/>
      <c r="Z15" s="55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</row>
    <row r="16" ht="18.0" customHeight="1">
      <c r="A16" s="4"/>
      <c r="B16" s="47">
        <v>2.3</v>
      </c>
      <c r="C16" s="48" t="s">
        <v>52</v>
      </c>
      <c r="D16" s="48" t="s">
        <v>45</v>
      </c>
      <c r="E16" s="49">
        <v>46277</v>
      </c>
      <c r="F16" s="49">
        <v>46281</v>
      </c>
      <c r="G16" s="50">
        <f>DAYS(F16,E16)+1</f>
        <v>5</v>
      </c>
      <c r="H16" s="51">
        <v>1.00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5"/>
      <c r="Y16" s="55"/>
      <c r="Z16" s="55"/>
      <c r="AA16" s="55"/>
      <c r="AB16" s="55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</row>
    <row r="17" ht="18.0" customHeight="1">
      <c r="A17" s="4"/>
      <c r="B17" s="47">
        <v>2.4</v>
      </c>
      <c r="C17" s="48" t="s">
        <v>53</v>
      </c>
      <c r="D17" s="48" t="s">
        <v>54</v>
      </c>
      <c r="E17" s="49">
        <v>46280</v>
      </c>
      <c r="F17" s="49">
        <v>46282</v>
      </c>
      <c r="G17" s="50">
        <f>DAYS(F17,E17)+1</f>
        <v>3</v>
      </c>
      <c r="H17" s="51">
        <v>1.00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5"/>
      <c r="AB17" s="55"/>
      <c r="AC17" s="55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</row>
    <row r="18" ht="20.0" customHeight="1">
      <c r="A18" s="4"/>
      <c r="B18" s="41">
        <v>3.0</v>
      </c>
      <c r="C18" s="42" t="s">
        <v>55</v>
      </c>
      <c r="D18" s="42"/>
      <c r="E18" s="43">
        <f>MIN(E19:E22)</f>
      </c>
      <c r="F18" s="43">
        <f>MAX(F19:F22)</f>
      </c>
      <c r="G18" s="44">
        <f>DAYS(F18,E18)+1</f>
      </c>
      <c r="H18" s="45">
        <f>AVERAGE(H19:H22)</f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</row>
    <row r="19" ht="18.0" customHeight="1">
      <c r="A19" s="4"/>
      <c r="B19" s="47">
        <v>3.1</v>
      </c>
      <c r="C19" s="48" t="s">
        <v>56</v>
      </c>
      <c r="D19" s="48" t="s">
        <v>45</v>
      </c>
      <c r="E19" s="49">
        <v>46283</v>
      </c>
      <c r="F19" s="49">
        <v>46288</v>
      </c>
      <c r="G19" s="50">
        <f>DAYS(F19,E19)+1</f>
        <v>6</v>
      </c>
      <c r="H19" s="51">
        <v>1.00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5"/>
      <c r="AE19" s="55"/>
      <c r="AF19" s="55"/>
      <c r="AG19" s="55"/>
      <c r="AH19" s="55"/>
      <c r="AI19" s="55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</row>
    <row r="20" ht="18.0" customHeight="1">
      <c r="A20" s="4"/>
      <c r="B20" s="47">
        <v>3.2</v>
      </c>
      <c r="C20" s="48" t="s">
        <v>57</v>
      </c>
      <c r="D20" s="48" t="s">
        <v>45</v>
      </c>
      <c r="E20" s="49">
        <v>46287</v>
      </c>
      <c r="F20" s="49">
        <v>46292</v>
      </c>
      <c r="G20" s="50">
        <f>DAYS(F20,E20)+1</f>
        <v>6</v>
      </c>
      <c r="H20" s="51">
        <v>1.00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5"/>
      <c r="AI20" s="55"/>
      <c r="AJ20" s="55"/>
      <c r="AK20" s="55"/>
      <c r="AL20" s="55"/>
      <c r="AM20" s="55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</row>
    <row r="21" ht="18.0" customHeight="1">
      <c r="A21" s="4"/>
      <c r="B21" s="47">
        <v>3.3</v>
      </c>
      <c r="C21" s="48" t="s">
        <v>58</v>
      </c>
      <c r="D21" s="48" t="s">
        <v>47</v>
      </c>
      <c r="E21" s="49">
        <v>46291</v>
      </c>
      <c r="F21" s="49">
        <v>46296</v>
      </c>
      <c r="G21" s="50">
        <f>DAYS(F21,E21)+1</f>
        <v>6</v>
      </c>
      <c r="H21" s="51">
        <v>1.00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5"/>
      <c r="AM21" s="55"/>
      <c r="AN21" s="55"/>
      <c r="AO21" s="55"/>
      <c r="AP21" s="55"/>
      <c r="AQ21" s="55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</row>
    <row r="22" ht="18.0" customHeight="1">
      <c r="A22" s="4"/>
      <c r="B22" s="47">
        <v>3.4</v>
      </c>
      <c r="C22" s="48" t="s">
        <v>59</v>
      </c>
      <c r="D22" s="48" t="s">
        <v>47</v>
      </c>
      <c r="E22" s="49">
        <v>46295</v>
      </c>
      <c r="F22" s="49">
        <v>46299</v>
      </c>
      <c r="G22" s="50">
        <f>DAYS(F22,E22)+1</f>
        <v>5</v>
      </c>
      <c r="H22" s="51">
        <v>1.00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5"/>
      <c r="AQ22" s="55"/>
      <c r="AR22" s="55"/>
      <c r="AS22" s="55"/>
      <c r="AT22" s="55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</row>
    <row r="23" ht="20.0" customHeight="1">
      <c r="A23" s="4"/>
      <c r="B23" s="41">
        <v>4.0</v>
      </c>
      <c r="C23" s="42" t="s">
        <v>60</v>
      </c>
      <c r="D23" s="42"/>
      <c r="E23" s="43">
        <f>MIN(E24:E27)</f>
      </c>
      <c r="F23" s="43">
        <f>MAX(F24:F27)</f>
      </c>
      <c r="G23" s="44">
        <f>DAYS(F23,E23)+1</f>
      </c>
      <c r="H23" s="45">
        <f>AVERAGE(H24:H27)</f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</row>
    <row r="24" ht="18.0" customHeight="1">
      <c r="A24" s="4"/>
      <c r="B24" s="47">
        <v>4.1</v>
      </c>
      <c r="C24" s="48" t="s">
        <v>61</v>
      </c>
      <c r="D24" s="48" t="s">
        <v>47</v>
      </c>
      <c r="E24" s="49">
        <v>46290</v>
      </c>
      <c r="F24" s="49">
        <v>46297</v>
      </c>
      <c r="G24" s="50">
        <f>DAYS(F24,E24)+1</f>
        <v>8</v>
      </c>
      <c r="H24" s="51">
        <v>1.00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5"/>
      <c r="AL24" s="55"/>
      <c r="AM24" s="55"/>
      <c r="AN24" s="55"/>
      <c r="AO24" s="55"/>
      <c r="AP24" s="55"/>
      <c r="AQ24" s="55"/>
      <c r="AR24" s="55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</row>
    <row r="25" ht="18.0" customHeight="1">
      <c r="A25" s="4"/>
      <c r="B25" s="47">
        <v>4.2</v>
      </c>
      <c r="C25" s="48" t="s">
        <v>62</v>
      </c>
      <c r="D25" s="48" t="s">
        <v>47</v>
      </c>
      <c r="E25" s="49">
        <v>46294</v>
      </c>
      <c r="F25" s="49">
        <v>46300</v>
      </c>
      <c r="G25" s="50">
        <f>DAYS(F25,E25)+1</f>
        <v>7</v>
      </c>
      <c r="H25" s="51">
        <v>1.00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5"/>
      <c r="AP25" s="55"/>
      <c r="AQ25" s="55"/>
      <c r="AR25" s="55"/>
      <c r="AS25" s="55"/>
      <c r="AT25" s="55"/>
      <c r="AU25" s="55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</row>
    <row r="26" ht="18.0" customHeight="1">
      <c r="A26" s="4"/>
      <c r="B26" s="47">
        <v>4.3</v>
      </c>
      <c r="C26" s="48" t="s">
        <v>63</v>
      </c>
      <c r="D26" s="48" t="s">
        <v>47</v>
      </c>
      <c r="E26" s="49">
        <v>46298</v>
      </c>
      <c r="F26" s="49">
        <v>46302</v>
      </c>
      <c r="G26" s="50">
        <f>DAYS(F26,E26)+1</f>
        <v>5</v>
      </c>
      <c r="H26" s="51">
        <v>1.00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5"/>
      <c r="AT26" s="55"/>
      <c r="AU26" s="55"/>
      <c r="AV26" s="55"/>
      <c r="AW26" s="55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</row>
    <row r="27" ht="18.0" customHeight="1">
      <c r="A27" s="4"/>
      <c r="B27" s="47">
        <v>4.4</v>
      </c>
      <c r="C27" s="48" t="s">
        <v>64</v>
      </c>
      <c r="D27" s="48" t="s">
        <v>47</v>
      </c>
      <c r="E27" s="49">
        <v>46300</v>
      </c>
      <c r="F27" s="49">
        <v>46303</v>
      </c>
      <c r="G27" s="50">
        <f>DAYS(F27,E27)+1</f>
        <v>4</v>
      </c>
      <c r="H27" s="51">
        <v>1.00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5"/>
      <c r="AV27" s="55"/>
      <c r="AW27" s="55"/>
      <c r="AX27" s="55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</row>
    <row r="28" ht="20.0" customHeight="1">
      <c r="A28" s="4"/>
      <c r="B28" s="41">
        <v>5.0</v>
      </c>
      <c r="C28" s="42" t="s">
        <v>65</v>
      </c>
      <c r="D28" s="42"/>
      <c r="E28" s="43">
        <f>MIN(E29:E31)</f>
      </c>
      <c r="F28" s="43">
        <f>MAX(F29:F31)</f>
      </c>
      <c r="G28" s="44">
        <f>DAYS(F28,E28)+1</f>
      </c>
      <c r="H28" s="45">
        <f>AVERAGE(H29:H31)</f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</row>
    <row r="29" ht="18.0" customHeight="1">
      <c r="A29" s="4"/>
      <c r="B29" s="47">
        <v>5.1</v>
      </c>
      <c r="C29" s="48" t="s">
        <v>66</v>
      </c>
      <c r="D29" s="48" t="s">
        <v>47</v>
      </c>
      <c r="E29" s="49">
        <v>46304</v>
      </c>
      <c r="F29" s="49">
        <v>46309</v>
      </c>
      <c r="G29" s="50">
        <f>DAYS(F29,E29)+1</f>
        <v>6</v>
      </c>
      <c r="H29" s="51">
        <v>0.30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5"/>
      <c r="AZ29" s="55"/>
      <c r="BA29" s="55"/>
      <c r="BB29" s="55"/>
      <c r="BC29" s="55"/>
      <c r="BD29" s="55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</row>
    <row r="30" ht="18.0" customHeight="1">
      <c r="A30" s="4"/>
      <c r="B30" s="47">
        <v>5.2</v>
      </c>
      <c r="C30" s="48" t="s">
        <v>67</v>
      </c>
      <c r="D30" s="48" t="s">
        <v>45</v>
      </c>
      <c r="E30" s="49">
        <v>46307</v>
      </c>
      <c r="F30" s="49">
        <v>46313</v>
      </c>
      <c r="G30" s="50">
        <f>DAYS(F30,E30)+1</f>
        <v>7</v>
      </c>
      <c r="H30" s="51">
        <v>0.00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5"/>
      <c r="BC30" s="55"/>
      <c r="BD30" s="55"/>
      <c r="BE30" s="55"/>
      <c r="BF30" s="55"/>
      <c r="BG30" s="55"/>
      <c r="BH30" s="55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</row>
    <row r="31" ht="18.0" customHeight="1">
      <c r="A31" s="4"/>
      <c r="B31" s="47">
        <v>5.3</v>
      </c>
      <c r="C31" s="48" t="s">
        <v>68</v>
      </c>
      <c r="D31" s="48" t="s">
        <v>45</v>
      </c>
      <c r="E31" s="49">
        <v>46311</v>
      </c>
      <c r="F31" s="49">
        <v>46317</v>
      </c>
      <c r="G31" s="50">
        <f>DAYS(F31,E31)+1</f>
        <v>7</v>
      </c>
      <c r="H31" s="51">
        <v>0.00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5"/>
      <c r="BG31" s="55"/>
      <c r="BH31" s="55"/>
      <c r="BI31" s="55"/>
      <c r="BJ31" s="55"/>
      <c r="BK31" s="55"/>
      <c r="BL31" s="55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</row>
    <row r="32" ht="20.0" customHeight="1">
      <c r="A32" s="4"/>
      <c r="B32" s="41">
        <v>6.0</v>
      </c>
      <c r="C32" s="42" t="s">
        <v>69</v>
      </c>
      <c r="D32" s="42"/>
      <c r="E32" s="43">
        <f>MIN(E33:E35)</f>
      </c>
      <c r="F32" s="43">
        <f>MAX(F33:F35)</f>
      </c>
      <c r="G32" s="44">
        <f>DAYS(F32,E32)+1</f>
      </c>
      <c r="H32" s="45">
        <f>AVERAGE(H33:H35)</f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</row>
    <row r="33" ht="18.0" customHeight="1">
      <c r="A33" s="4"/>
      <c r="B33" s="47">
        <v>6.1</v>
      </c>
      <c r="C33" s="48" t="s">
        <v>70</v>
      </c>
      <c r="D33" s="48" t="s">
        <v>47</v>
      </c>
      <c r="E33" s="49">
        <v>46314</v>
      </c>
      <c r="F33" s="49">
        <v>46321</v>
      </c>
      <c r="G33" s="50">
        <f>DAYS(F33,E33)+1</f>
        <v>8</v>
      </c>
      <c r="H33" s="51">
        <v>0.00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5"/>
      <c r="BJ33" s="55"/>
      <c r="BK33" s="55"/>
      <c r="BL33" s="55"/>
      <c r="BM33" s="55"/>
      <c r="BN33" s="55"/>
      <c r="BO33" s="55"/>
      <c r="BP33" s="55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</row>
    <row r="34" ht="18.0" customHeight="1">
      <c r="A34" s="4"/>
      <c r="B34" s="47">
        <v>6.2</v>
      </c>
      <c r="C34" s="48" t="s">
        <v>71</v>
      </c>
      <c r="D34" s="48" t="s">
        <v>47</v>
      </c>
      <c r="E34" s="49">
        <v>46319</v>
      </c>
      <c r="F34" s="49">
        <v>46327</v>
      </c>
      <c r="G34" s="50">
        <f>DAYS(F34,E34)+1</f>
        <v>9</v>
      </c>
      <c r="H34" s="51">
        <v>0.00</v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5"/>
      <c r="BO34" s="55"/>
      <c r="BP34" s="55"/>
      <c r="BQ34" s="55"/>
      <c r="BR34" s="55"/>
      <c r="BS34" s="55"/>
      <c r="BT34" s="55"/>
      <c r="BU34" s="55"/>
      <c r="BV34" s="55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</row>
    <row r="35" ht="18.0" customHeight="1">
      <c r="A35" s="4"/>
      <c r="B35" s="47">
        <v>6.3</v>
      </c>
      <c r="C35" s="48" t="s">
        <v>72</v>
      </c>
      <c r="D35" s="48" t="s">
        <v>47</v>
      </c>
      <c r="E35" s="49">
        <v>46325</v>
      </c>
      <c r="F35" s="49">
        <v>46332</v>
      </c>
      <c r="G35" s="50">
        <f>DAYS(F35,E35)+1</f>
        <v>8</v>
      </c>
      <c r="H35" s="51">
        <v>0.00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5"/>
      <c r="BU35" s="55"/>
      <c r="BV35" s="55"/>
      <c r="BW35" s="55"/>
      <c r="BX35" s="55"/>
      <c r="BY35" s="55"/>
      <c r="BZ35" s="55"/>
      <c r="CA35" s="55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</row>
    <row r="36" ht="20.0" customHeight="1">
      <c r="A36" s="4"/>
      <c r="B36" s="41">
        <v>7.0</v>
      </c>
      <c r="C36" s="42" t="s">
        <v>73</v>
      </c>
      <c r="D36" s="42"/>
      <c r="E36" s="43">
        <f>MIN(E37:E41)</f>
      </c>
      <c r="F36" s="43">
        <f>MAX(F37:F41)</f>
      </c>
      <c r="G36" s="44">
        <f>DAYS(F36,E36)+1</f>
      </c>
      <c r="H36" s="45">
        <f>AVERAGE(H37:H41)</f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</row>
    <row r="37" ht="18.0" customHeight="1">
      <c r="A37" s="4"/>
      <c r="B37" s="47">
        <v>7.1</v>
      </c>
      <c r="C37" s="48" t="s">
        <v>74</v>
      </c>
      <c r="D37" s="48" t="s">
        <v>45</v>
      </c>
      <c r="E37" s="49">
        <v>46321</v>
      </c>
      <c r="F37" s="49">
        <v>46329</v>
      </c>
      <c r="G37" s="50">
        <f>DAYS(F37,E37)+1</f>
        <v>9</v>
      </c>
      <c r="H37" s="51">
        <v>0.00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5"/>
      <c r="BQ37" s="55"/>
      <c r="BR37" s="55"/>
      <c r="BS37" s="55"/>
      <c r="BT37" s="55"/>
      <c r="BU37" s="55"/>
      <c r="BV37" s="55"/>
      <c r="BW37" s="55"/>
      <c r="BX37" s="55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</row>
    <row r="38" ht="18.0" customHeight="1">
      <c r="A38" s="4"/>
      <c r="B38" s="47">
        <v>7.2</v>
      </c>
      <c r="C38" s="48" t="s">
        <v>75</v>
      </c>
      <c r="D38" s="48" t="s">
        <v>45</v>
      </c>
      <c r="E38" s="49">
        <v>46327</v>
      </c>
      <c r="F38" s="49">
        <v>46332</v>
      </c>
      <c r="G38" s="50">
        <f>DAYS(F38,E38)+1</f>
        <v>6</v>
      </c>
      <c r="H38" s="51">
        <v>0.00</v>
      </c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5"/>
      <c r="BW38" s="55"/>
      <c r="BX38" s="55"/>
      <c r="BY38" s="55"/>
      <c r="BZ38" s="55"/>
      <c r="CA38" s="55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</row>
    <row r="39" ht="18.0" customHeight="1">
      <c r="A39" s="4"/>
      <c r="B39" s="47">
        <v>7.3</v>
      </c>
      <c r="C39" s="48" t="s">
        <v>76</v>
      </c>
      <c r="D39" s="48" t="s">
        <v>47</v>
      </c>
      <c r="E39" s="49">
        <v>46330</v>
      </c>
      <c r="F39" s="49">
        <v>46335</v>
      </c>
      <c r="G39" s="50">
        <f>DAYS(F39,E39)+1</f>
        <v>6</v>
      </c>
      <c r="H39" s="51">
        <v>0.00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5"/>
      <c r="BZ39" s="55"/>
      <c r="CA39" s="55"/>
      <c r="CB39" s="55"/>
      <c r="CC39" s="55"/>
      <c r="CD39" s="55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</row>
    <row r="40" ht="18.0" customHeight="1">
      <c r="A40" s="4"/>
      <c r="B40" s="47">
        <v>7.4</v>
      </c>
      <c r="C40" s="48" t="s">
        <v>77</v>
      </c>
      <c r="D40" s="48" t="s">
        <v>47</v>
      </c>
      <c r="E40" s="49">
        <v>46333</v>
      </c>
      <c r="F40" s="49">
        <v>46338</v>
      </c>
      <c r="G40" s="50">
        <f>DAYS(F40,E40)+1</f>
        <v>6</v>
      </c>
      <c r="H40" s="51">
        <v>0.00</v>
      </c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5"/>
      <c r="CC40" s="55"/>
      <c r="CD40" s="55"/>
      <c r="CE40" s="55"/>
      <c r="CF40" s="55"/>
      <c r="CG40" s="55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</row>
    <row r="41" ht="18.0" customHeight="1">
      <c r="A41" s="4"/>
      <c r="B41" s="47">
        <v>7.5</v>
      </c>
      <c r="C41" s="48" t="s">
        <v>78</v>
      </c>
      <c r="D41" s="48" t="s">
        <v>45</v>
      </c>
      <c r="E41" s="49">
        <v>46332</v>
      </c>
      <c r="F41" s="49">
        <v>46338</v>
      </c>
      <c r="G41" s="50">
        <f>DAYS(F41,E41)+1</f>
        <v>7</v>
      </c>
      <c r="H41" s="51">
        <v>0.00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5"/>
      <c r="CB41" s="55"/>
      <c r="CC41" s="55"/>
      <c r="CD41" s="55"/>
      <c r="CE41" s="55"/>
      <c r="CF41" s="55"/>
      <c r="CG41" s="55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</row>
    <row r="42" ht="20.0" customHeight="1">
      <c r="A42" s="4"/>
      <c r="B42" s="41">
        <v>8.0</v>
      </c>
      <c r="C42" s="42" t="s">
        <v>79</v>
      </c>
      <c r="D42" s="42"/>
      <c r="E42" s="43">
        <f>MIN(E43:E45)</f>
      </c>
      <c r="F42" s="43">
        <f>MAX(F43:F45)</f>
      </c>
      <c r="G42" s="44">
        <f>DAYS(F42,E42)+1</f>
      </c>
      <c r="H42" s="45">
        <f>AVERAGE(H43:H45)</f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</row>
    <row r="43" ht="18.0" customHeight="1">
      <c r="A43" s="4"/>
      <c r="B43" s="47">
        <v>8.1</v>
      </c>
      <c r="C43" s="48" t="s">
        <v>80</v>
      </c>
      <c r="D43" s="48" t="s">
        <v>45</v>
      </c>
      <c r="E43" s="49">
        <v>46331</v>
      </c>
      <c r="F43" s="49">
        <v>46336</v>
      </c>
      <c r="G43" s="50">
        <f>DAYS(F43,E43)+1</f>
        <v>6</v>
      </c>
      <c r="H43" s="51">
        <v>0.00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5"/>
      <c r="CA43" s="55"/>
      <c r="CB43" s="55"/>
      <c r="CC43" s="55"/>
      <c r="CD43" s="55"/>
      <c r="CE43" s="55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</row>
    <row r="44" ht="18.0" customHeight="1">
      <c r="A44" s="4"/>
      <c r="B44" s="47">
        <v>8.2</v>
      </c>
      <c r="C44" s="48" t="s">
        <v>81</v>
      </c>
      <c r="D44" s="48" t="s">
        <v>47</v>
      </c>
      <c r="E44" s="49">
        <v>46334</v>
      </c>
      <c r="F44" s="49">
        <v>46338</v>
      </c>
      <c r="G44" s="50">
        <f>DAYS(F44,E44)+1</f>
        <v>5</v>
      </c>
      <c r="H44" s="51">
        <v>0.00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5"/>
      <c r="CD44" s="55"/>
      <c r="CE44" s="55"/>
      <c r="CF44" s="55"/>
      <c r="CG44" s="55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</row>
    <row r="45" ht="18.0" customHeight="1">
      <c r="A45" s="4"/>
      <c r="B45" s="47">
        <v>8.3</v>
      </c>
      <c r="C45" s="48" t="s">
        <v>82</v>
      </c>
      <c r="D45" s="48" t="s">
        <v>45</v>
      </c>
      <c r="E45" s="49">
        <v>46334</v>
      </c>
      <c r="F45" s="49">
        <v>46338</v>
      </c>
      <c r="G45" s="50">
        <f>DAYS(F45,E45)+1</f>
        <v>5</v>
      </c>
      <c r="H45" s="51">
        <v>0.00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5"/>
      <c r="CD45" s="55"/>
      <c r="CE45" s="55"/>
      <c r="CF45" s="55"/>
      <c r="CG45" s="55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</row>
    <row r="46" ht="20.0" customHeight="1">
      <c r="A46" s="4"/>
      <c r="B46" s="41">
        <v>9.0</v>
      </c>
      <c r="C46" s="42" t="s">
        <v>83</v>
      </c>
      <c r="D46" s="42"/>
      <c r="E46" s="43">
        <f>MIN(E47:E50)</f>
      </c>
      <c r="F46" s="43">
        <f>MAX(F47:F50)</f>
      </c>
      <c r="G46" s="44">
        <f>DAYS(F46,E46)+1</f>
      </c>
      <c r="H46" s="45">
        <f>AVERAGE(H47:H50)</f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</row>
    <row r="47" ht="18.0" customHeight="1">
      <c r="A47" s="4"/>
      <c r="B47" s="47">
        <v>9.1</v>
      </c>
      <c r="C47" s="48" t="s">
        <v>84</v>
      </c>
      <c r="D47" s="48" t="s">
        <v>45</v>
      </c>
      <c r="E47" s="49">
        <v>46339</v>
      </c>
      <c r="F47" s="49">
        <v>46344</v>
      </c>
      <c r="G47" s="50">
        <f>DAYS(F47,E47)+1</f>
        <v>6</v>
      </c>
      <c r="H47" s="51">
        <v>0.00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5"/>
      <c r="CI47" s="55"/>
      <c r="CJ47" s="55"/>
      <c r="CK47" s="55"/>
      <c r="CL47" s="55"/>
      <c r="CM47" s="55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</row>
    <row r="48" ht="18.0" customHeight="1">
      <c r="A48" s="4"/>
      <c r="B48" s="47">
        <v>9.2</v>
      </c>
      <c r="C48" s="48" t="s">
        <v>85</v>
      </c>
      <c r="D48" s="48" t="s">
        <v>47</v>
      </c>
      <c r="E48" s="49">
        <v>46342</v>
      </c>
      <c r="F48" s="49">
        <v>46347</v>
      </c>
      <c r="G48" s="50">
        <f>DAYS(F48,E48)+1</f>
        <v>6</v>
      </c>
      <c r="H48" s="51">
        <v>0.00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5"/>
      <c r="CL48" s="55"/>
      <c r="CM48" s="55"/>
      <c r="CN48" s="55"/>
      <c r="CO48" s="55"/>
      <c r="CP48" s="55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</row>
    <row r="49" ht="18.0" customHeight="1">
      <c r="A49" s="4"/>
      <c r="B49" s="47">
        <v>9.3</v>
      </c>
      <c r="C49" s="48" t="s">
        <v>86</v>
      </c>
      <c r="D49" s="48" t="s">
        <v>47</v>
      </c>
      <c r="E49" s="49">
        <v>46345</v>
      </c>
      <c r="F49" s="49">
        <v>46349</v>
      </c>
      <c r="G49" s="50">
        <f>DAYS(F49,E49)+1</f>
        <v>5</v>
      </c>
      <c r="H49" s="51">
        <v>0.00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5"/>
      <c r="CO49" s="55"/>
      <c r="CP49" s="55"/>
      <c r="CQ49" s="55"/>
      <c r="CR49" s="55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</row>
    <row r="50" ht="18.0" customHeight="1">
      <c r="A50" s="4"/>
      <c r="B50" s="47">
        <v>9.4</v>
      </c>
      <c r="C50" s="48" t="s">
        <v>87</v>
      </c>
      <c r="D50" s="48" t="s">
        <v>45</v>
      </c>
      <c r="E50" s="49">
        <v>46346</v>
      </c>
      <c r="F50" s="49">
        <v>46350</v>
      </c>
      <c r="G50" s="50">
        <f>DAYS(F50,E50)+1</f>
        <v>5</v>
      </c>
      <c r="H50" s="51">
        <v>0.00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5"/>
      <c r="CP50" s="55"/>
      <c r="CQ50" s="55"/>
      <c r="CR50" s="55"/>
      <c r="CS50" s="55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</row>
    <row r="51" ht="20.0" customHeight="1">
      <c r="A51" s="4"/>
      <c r="B51" s="41">
        <v>10.0</v>
      </c>
      <c r="C51" s="42" t="s">
        <v>88</v>
      </c>
      <c r="D51" s="42"/>
      <c r="E51" s="43">
        <f>MIN(E52:E54)</f>
      </c>
      <c r="F51" s="43">
        <f>MAX(F52:F54)</f>
      </c>
      <c r="G51" s="44">
        <f>DAYS(F51,E51)+1</f>
      </c>
      <c r="H51" s="45">
        <f>AVERAGE(H52:H54)</f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</row>
    <row r="52" ht="18.0" customHeight="1">
      <c r="A52" s="4"/>
      <c r="B52" s="47">
        <v>10.1</v>
      </c>
      <c r="C52" s="48" t="s">
        <v>89</v>
      </c>
      <c r="D52" s="48" t="s">
        <v>45</v>
      </c>
      <c r="E52" s="49">
        <v>46343</v>
      </c>
      <c r="F52" s="49">
        <v>46347</v>
      </c>
      <c r="G52" s="50">
        <f>DAYS(F52,E52)+1</f>
        <v>5</v>
      </c>
      <c r="H52" s="51">
        <v>0.00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5"/>
      <c r="CM52" s="55"/>
      <c r="CN52" s="55"/>
      <c r="CO52" s="55"/>
      <c r="CP52" s="55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</row>
    <row r="53" ht="18.0" customHeight="1">
      <c r="A53" s="4"/>
      <c r="B53" s="47">
        <v>10.2</v>
      </c>
      <c r="C53" s="48" t="s">
        <v>90</v>
      </c>
      <c r="D53" s="48" t="s">
        <v>54</v>
      </c>
      <c r="E53" s="49">
        <v>46346</v>
      </c>
      <c r="F53" s="49">
        <v>46351</v>
      </c>
      <c r="G53" s="50">
        <f>DAYS(F53,E53)+1</f>
        <v>6</v>
      </c>
      <c r="H53" s="51">
        <v>0.00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5"/>
      <c r="CP53" s="55"/>
      <c r="CQ53" s="55"/>
      <c r="CR53" s="55"/>
      <c r="CS53" s="55"/>
      <c r="CT53" s="55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</row>
    <row r="54" ht="18.0" customHeight="1">
      <c r="A54" s="4"/>
      <c r="B54" s="47">
        <v>10.3</v>
      </c>
      <c r="C54" s="48" t="s">
        <v>91</v>
      </c>
      <c r="D54" s="48" t="s">
        <v>47</v>
      </c>
      <c r="E54" s="49">
        <v>46349</v>
      </c>
      <c r="F54" s="49">
        <v>46352</v>
      </c>
      <c r="G54" s="50">
        <f>DAYS(F54,E54)+1</f>
        <v>4</v>
      </c>
      <c r="H54" s="51">
        <v>0.00</v>
      </c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5"/>
      <c r="CS54" s="55"/>
      <c r="CT54" s="55"/>
      <c r="CU54" s="55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</row>
    <row r="55" ht="20.0" customHeight="1">
      <c r="A55" s="4"/>
      <c r="B55" s="41">
        <v>11.0</v>
      </c>
      <c r="C55" s="42" t="s">
        <v>92</v>
      </c>
      <c r="D55" s="42"/>
      <c r="E55" s="43">
        <f>MIN(E56:E60)</f>
      </c>
      <c r="F55" s="43">
        <f>MAX(F56:F60)</f>
      </c>
      <c r="G55" s="44">
        <f>DAYS(F55,E55)+1</f>
      </c>
      <c r="H55" s="45">
        <f>AVERAGE(H56:H60)</f>
      </c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</row>
    <row r="56" ht="18.0" customHeight="1">
      <c r="A56" s="4"/>
      <c r="B56" s="47">
        <v>11.1</v>
      </c>
      <c r="C56" s="48" t="s">
        <v>93</v>
      </c>
      <c r="D56" s="48" t="s">
        <v>45</v>
      </c>
      <c r="E56" s="49">
        <v>46353</v>
      </c>
      <c r="F56" s="49">
        <v>46357</v>
      </c>
      <c r="G56" s="50">
        <f>DAYS(F56,E56)+1</f>
        <v>5</v>
      </c>
      <c r="H56" s="51">
        <v>0.00</v>
      </c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5"/>
      <c r="CW56" s="55"/>
      <c r="CX56" s="55"/>
      <c r="CY56" s="55"/>
      <c r="CZ56" s="55"/>
      <c r="DA56" s="52"/>
      <c r="DB56" s="52"/>
      <c r="DC56" s="52"/>
      <c r="DD56" s="52"/>
      <c r="DE56" s="52"/>
      <c r="DF56" s="52"/>
      <c r="DG56" s="52"/>
      <c r="DH56" s="52"/>
      <c r="DI56" s="52"/>
    </row>
    <row r="57" ht="18.0" customHeight="1">
      <c r="A57" s="4"/>
      <c r="B57" s="47">
        <v>11.2</v>
      </c>
      <c r="C57" s="48" t="s">
        <v>94</v>
      </c>
      <c r="D57" s="48" t="s">
        <v>45</v>
      </c>
      <c r="E57" s="49">
        <v>46355</v>
      </c>
      <c r="F57" s="49">
        <v>46360</v>
      </c>
      <c r="G57" s="50">
        <f>DAYS(F57,E57)+1</f>
        <v>6</v>
      </c>
      <c r="H57" s="51">
        <v>0.00</v>
      </c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5"/>
      <c r="CY57" s="55"/>
      <c r="CZ57" s="55"/>
      <c r="DA57" s="55"/>
      <c r="DB57" s="55"/>
      <c r="DC57" s="55"/>
      <c r="DD57" s="52"/>
      <c r="DE57" s="52"/>
      <c r="DF57" s="52"/>
      <c r="DG57" s="52"/>
      <c r="DH57" s="52"/>
      <c r="DI57" s="52"/>
    </row>
    <row r="58" ht="18.0" customHeight="1">
      <c r="A58" s="4"/>
      <c r="B58" s="47">
        <v>11.3</v>
      </c>
      <c r="C58" s="48" t="s">
        <v>95</v>
      </c>
      <c r="D58" s="48" t="s">
        <v>47</v>
      </c>
      <c r="E58" s="49">
        <v>46357</v>
      </c>
      <c r="F58" s="49">
        <v>46362</v>
      </c>
      <c r="G58" s="50">
        <f>DAYS(F58,E58)+1</f>
        <v>6</v>
      </c>
      <c r="H58" s="51">
        <v>0.00</v>
      </c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5"/>
      <c r="DA58" s="55"/>
      <c r="DB58" s="55"/>
      <c r="DC58" s="55"/>
      <c r="DD58" s="55"/>
      <c r="DE58" s="55"/>
      <c r="DF58" s="52"/>
      <c r="DG58" s="52"/>
      <c r="DH58" s="52"/>
      <c r="DI58" s="52"/>
    </row>
    <row r="59" ht="18.0" customHeight="1">
      <c r="A59" s="4"/>
      <c r="B59" s="47">
        <v>11.4</v>
      </c>
      <c r="C59" s="48" t="s">
        <v>96</v>
      </c>
      <c r="D59" s="48" t="s">
        <v>47</v>
      </c>
      <c r="E59" s="49">
        <v>46359</v>
      </c>
      <c r="F59" s="49">
        <v>46363</v>
      </c>
      <c r="G59" s="50">
        <f>DAYS(F59,E59)+1</f>
        <v>5</v>
      </c>
      <c r="H59" s="51">
        <v>0.00</v>
      </c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5"/>
      <c r="DC59" s="55"/>
      <c r="DD59" s="55"/>
      <c r="DE59" s="55"/>
      <c r="DF59" s="55"/>
      <c r="DG59" s="52"/>
      <c r="DH59" s="52"/>
      <c r="DI59" s="52"/>
    </row>
    <row r="60" ht="18.0" customHeight="1">
      <c r="A60" s="4"/>
      <c r="B60" s="47">
        <v>11.5</v>
      </c>
      <c r="C60" s="48" t="s">
        <v>97</v>
      </c>
      <c r="D60" s="48" t="s">
        <v>54</v>
      </c>
      <c r="E60" s="49">
        <v>46362</v>
      </c>
      <c r="F60" s="49">
        <v>46364</v>
      </c>
      <c r="G60" s="50">
        <f>DAYS(F60,E60)+1</f>
        <v>3</v>
      </c>
      <c r="H60" s="51">
        <v>0.00</v>
      </c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5"/>
      <c r="DF60" s="55"/>
      <c r="DG60" s="55"/>
      <c r="DH60" s="52"/>
      <c r="DI60" s="52"/>
    </row>
    <row r="61" ht="20.0" customHeight="1">
      <c r="A61" s="4"/>
      <c r="B61" s="41">
        <v>12.0</v>
      </c>
      <c r="C61" s="42" t="s">
        <v>98</v>
      </c>
      <c r="D61" s="42"/>
      <c r="E61" s="43">
        <f>MIN(E62:E65)</f>
      </c>
      <c r="F61" s="43">
        <f>MAX(F62:F65)</f>
      </c>
      <c r="G61" s="44">
        <f>DAYS(F61,E61)+1</f>
      </c>
      <c r="H61" s="45">
        <f>AVERAGE(H62:H65)</f>
      </c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</row>
    <row r="62" ht="18.0" customHeight="1">
      <c r="A62" s="4"/>
      <c r="B62" s="47">
        <v>12.1</v>
      </c>
      <c r="C62" s="48" t="s">
        <v>99</v>
      </c>
      <c r="D62" s="48" t="s">
        <v>47</v>
      </c>
      <c r="E62" s="49">
        <v>46360</v>
      </c>
      <c r="F62" s="49">
        <v>46364</v>
      </c>
      <c r="G62" s="50">
        <f>DAYS(F62,E62)+1</f>
        <v>5</v>
      </c>
      <c r="H62" s="51">
        <v>0.00</v>
      </c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5"/>
      <c r="DD62" s="55"/>
      <c r="DE62" s="55"/>
      <c r="DF62" s="55"/>
      <c r="DG62" s="55"/>
      <c r="DH62" s="52"/>
      <c r="DI62" s="52"/>
    </row>
    <row r="63" ht="18.0" customHeight="1">
      <c r="A63" s="4"/>
      <c r="B63" s="47">
        <v>12.2</v>
      </c>
      <c r="C63" s="48" t="s">
        <v>100</v>
      </c>
      <c r="D63" s="48" t="s">
        <v>54</v>
      </c>
      <c r="E63" s="49">
        <v>46363</v>
      </c>
      <c r="F63" s="49">
        <v>46365</v>
      </c>
      <c r="G63" s="50">
        <f>DAYS(F63,E63)+1</f>
        <v>3</v>
      </c>
      <c r="H63" s="51">
        <v>0.00</v>
      </c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5"/>
      <c r="DG63" s="55"/>
      <c r="DH63" s="55"/>
      <c r="DI63" s="52"/>
    </row>
    <row r="64" ht="18.0" customHeight="1">
      <c r="A64" s="4"/>
      <c r="B64" s="47">
        <v>12.3</v>
      </c>
      <c r="C64" s="48" t="s">
        <v>101</v>
      </c>
      <c r="D64" s="48" t="s">
        <v>54</v>
      </c>
      <c r="E64" s="49">
        <v>46364</v>
      </c>
      <c r="F64" s="49">
        <v>46365</v>
      </c>
      <c r="G64" s="50">
        <f>DAYS(F64,E64)+1</f>
        <v>2</v>
      </c>
      <c r="H64" s="51">
        <v>0.00</v>
      </c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5"/>
      <c r="DH64" s="55"/>
      <c r="DI64" s="52"/>
    </row>
    <row r="65" ht="18.0" customHeight="1">
      <c r="A65" s="4"/>
      <c r="B65" s="47">
        <v>12.4</v>
      </c>
      <c r="C65" s="48" t="s">
        <v>102</v>
      </c>
      <c r="D65" s="48" t="s">
        <v>54</v>
      </c>
      <c r="E65" s="49">
        <v>46366</v>
      </c>
      <c r="F65" s="49">
        <v>46366</v>
      </c>
      <c r="G65" s="50">
        <f>DAYS(F65,E65)+1</f>
        <v>1</v>
      </c>
      <c r="H65" s="51">
        <v>0.00</v>
      </c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5"/>
    </row>
    <row r="66" ht="18.0" customHeight="1">
      <c r="A66" s="4"/>
      <c r="B66" s="47"/>
      <c r="C66" s="48"/>
      <c r="D66" s="48"/>
      <c r="E66" s="49"/>
      <c r="F66" s="49"/>
      <c r="G66" s="50">
        <f>DAYS(F66,E66)+1</f>
        <v>0</v>
      </c>
      <c r="H66" s="51">
        <v>0.0</v>
      </c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</row>
    <row r="67" ht="18.0" customHeight="1">
      <c r="A67" s="4"/>
      <c r="B67" s="47"/>
      <c r="C67" s="48"/>
      <c r="D67" s="48"/>
      <c r="E67" s="49"/>
      <c r="F67" s="49"/>
      <c r="G67" s="50">
        <f>DAYS(F67,E67)+1</f>
        <v>0</v>
      </c>
      <c r="H67" s="51">
        <v>0.0</v>
      </c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</row>
    <row r="68" ht="18.0" customHeight="1">
      <c r="A68" s="4"/>
      <c r="B68" s="47"/>
      <c r="C68" s="48"/>
      <c r="D68" s="48"/>
      <c r="E68" s="49"/>
      <c r="F68" s="49"/>
      <c r="G68" s="50">
        <f>DAYS(F68,E68)+1</f>
        <v>0</v>
      </c>
      <c r="H68" s="51">
        <v>0.0</v>
      </c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</row>
    <row r="69" ht="18.0" customHeight="1">
      <c r="A69" s="4"/>
      <c r="B69" s="47"/>
      <c r="C69" s="48"/>
      <c r="D69" s="48"/>
      <c r="E69" s="49"/>
      <c r="F69" s="49"/>
      <c r="G69" s="50">
        <f>DAYS(F69,E69)+1</f>
        <v>0</v>
      </c>
      <c r="H69" s="51">
        <v>0.0</v>
      </c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</row>
    <row r="70" ht="18.0" customHeight="1">
      <c r="A70" s="4"/>
      <c r="B70" s="47"/>
      <c r="C70" s="48"/>
      <c r="D70" s="48"/>
      <c r="E70" s="49"/>
      <c r="F70" s="49"/>
      <c r="G70" s="50">
        <f>DAYS(F70,E70)+1</f>
        <v>0</v>
      </c>
      <c r="H70" s="51">
        <v>0.0</v>
      </c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</row>
    <row r="71" ht="18.0" customHeight="1">
      <c r="A71" s="4"/>
      <c r="B71" s="47"/>
      <c r="C71" s="48"/>
      <c r="D71" s="48"/>
      <c r="E71" s="49"/>
      <c r="F71" s="49"/>
      <c r="G71" s="50">
        <f>DAYS(F71,E71)+1</f>
        <v>0</v>
      </c>
      <c r="H71" s="51">
        <v>0.0</v>
      </c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</row>
    <row r="72" ht="18.0" customHeight="1">
      <c r="A72" s="4"/>
      <c r="B72" s="47"/>
      <c r="C72" s="48"/>
      <c r="D72" s="48"/>
      <c r="E72" s="49"/>
      <c r="F72" s="49"/>
      <c r="G72" s="50">
        <f>DAYS(F72,E72)+1</f>
        <v>0</v>
      </c>
      <c r="H72" s="51">
        <v>0.0</v>
      </c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</row>
    <row r="73" ht="18.0" customHeight="1">
      <c r="A73" s="4"/>
      <c r="B73" s="47"/>
      <c r="C73" s="48"/>
      <c r="D73" s="48"/>
      <c r="E73" s="49"/>
      <c r="F73" s="49"/>
      <c r="G73" s="50">
        <f>DAYS(F73,E73)+1</f>
        <v>0</v>
      </c>
      <c r="H73" s="51">
        <v>0.0</v>
      </c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</row>
    <row r="74" ht="18.0" customHeight="1">
      <c r="A74" s="4"/>
      <c r="B74" s="47"/>
      <c r="C74" s="48"/>
      <c r="D74" s="48"/>
      <c r="E74" s="49"/>
      <c r="F74" s="49"/>
      <c r="G74" s="50">
        <f>DAYS(F74,E74)+1</f>
        <v>0</v>
      </c>
      <c r="H74" s="51">
        <v>0.0</v>
      </c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</row>
    <row r="75" ht="18.0" customHeight="1">
      <c r="A75" s="4"/>
      <c r="B75" s="47"/>
      <c r="C75" s="48"/>
      <c r="D75" s="48"/>
      <c r="E75" s="49"/>
      <c r="F75" s="49"/>
      <c r="G75" s="50">
        <f>DAYS(F75,E75)+1</f>
        <v>0</v>
      </c>
      <c r="H75" s="51">
        <v>0.0</v>
      </c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</row>
    <row r="76" ht="18.0" customHeight="1">
      <c r="A76" s="4"/>
      <c r="B76" s="47"/>
      <c r="C76" s="48"/>
      <c r="D76" s="48"/>
      <c r="E76" s="49"/>
      <c r="F76" s="49"/>
      <c r="G76" s="50">
        <f>DAYS(F76,E76)+1</f>
        <v>0</v>
      </c>
      <c r="H76" s="51">
        <v>0.0</v>
      </c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</row>
    <row r="77" ht="18.0" customHeight="1">
      <c r="A77" s="4"/>
      <c r="B77" s="47"/>
      <c r="C77" s="48"/>
      <c r="D77" s="48"/>
      <c r="E77" s="49"/>
      <c r="F77" s="49"/>
      <c r="G77" s="50">
        <f>DAYS(F77,E77)+1</f>
        <v>0</v>
      </c>
      <c r="H77" s="51">
        <v>0.0</v>
      </c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</row>
    <row r="78" ht="18.0" customHeight="1">
      <c r="A78" s="4"/>
      <c r="B78" s="47"/>
      <c r="C78" s="48"/>
      <c r="D78" s="48"/>
      <c r="E78" s="49"/>
      <c r="F78" s="49"/>
      <c r="G78" s="50">
        <f>DAYS(F78,E78)+1</f>
        <v>0</v>
      </c>
      <c r="H78" s="51">
        <v>0.0</v>
      </c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</row>
    <row r="79" ht="18.0" customHeight="1">
      <c r="A79" s="4"/>
      <c r="B79" s="47"/>
      <c r="C79" s="48"/>
      <c r="D79" s="48"/>
      <c r="E79" s="49"/>
      <c r="F79" s="49"/>
      <c r="G79" s="50">
        <f>DAYS(F79,E79)+1</f>
        <v>0</v>
      </c>
      <c r="H79" s="51">
        <v>0.0</v>
      </c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</row>
    <row r="80" ht="18.0" customHeight="1">
      <c r="A80" s="4"/>
      <c r="B80" s="47"/>
      <c r="C80" s="48"/>
      <c r="D80" s="48"/>
      <c r="E80" s="49"/>
      <c r="F80" s="49"/>
      <c r="G80" s="50">
        <f>DAYS(F80,E80)+1</f>
        <v>0</v>
      </c>
      <c r="H80" s="51">
        <v>0.0</v>
      </c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</row>
    <row r="81" ht="18.0" customHeight="1">
      <c r="A81" s="4"/>
      <c r="B81" s="47"/>
      <c r="C81" s="48"/>
      <c r="D81" s="48"/>
      <c r="E81" s="49"/>
      <c r="F81" s="49"/>
      <c r="G81" s="50">
        <f>DAYS(F81,E81)+1</f>
        <v>0</v>
      </c>
      <c r="H81" s="51">
        <v>0.0</v>
      </c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</row>
    <row r="82" ht="18.0" customHeight="1">
      <c r="A82" s="4"/>
      <c r="B82" s="47"/>
      <c r="C82" s="48"/>
      <c r="D82" s="48"/>
      <c r="E82" s="49"/>
      <c r="F82" s="49"/>
      <c r="G82" s="50">
        <f>DAYS(F82,E82)+1</f>
        <v>0</v>
      </c>
      <c r="H82" s="51">
        <v>0.0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</row>
    <row r="83" ht="18.0" customHeight="1">
      <c r="A83" s="4"/>
      <c r="B83" s="47"/>
      <c r="C83" s="48"/>
      <c r="D83" s="48"/>
      <c r="E83" s="49"/>
      <c r="F83" s="49"/>
      <c r="G83" s="50">
        <f>DAYS(F83,E83)+1</f>
        <v>0</v>
      </c>
      <c r="H83" s="51">
        <v>0.0</v>
      </c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</row>
    <row r="84" ht="18.0" customHeight="1">
      <c r="A84" s="4"/>
      <c r="B84" s="47"/>
      <c r="C84" s="48"/>
      <c r="D84" s="48"/>
      <c r="E84" s="49"/>
      <c r="F84" s="49"/>
      <c r="G84" s="50">
        <f>DAYS(F84,E84)+1</f>
        <v>0</v>
      </c>
      <c r="H84" s="51">
        <v>0.0</v>
      </c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</row>
    <row r="85" ht="18.0" customHeight="1">
      <c r="A85" s="4"/>
      <c r="B85" s="47"/>
      <c r="C85" s="48"/>
      <c r="D85" s="48"/>
      <c r="E85" s="49"/>
      <c r="F85" s="49"/>
      <c r="G85" s="50">
        <f>DAYS(F85,E85)+1</f>
        <v>0</v>
      </c>
      <c r="H85" s="51">
        <v>0.0</v>
      </c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</row>
    <row r="86" ht="18.0" customHeight="1">
      <c r="A86" s="4"/>
      <c r="B86" s="47"/>
      <c r="C86" s="48"/>
      <c r="D86" s="48"/>
      <c r="E86" s="49"/>
      <c r="F86" s="49"/>
      <c r="G86" s="50">
        <f>DAYS(F86,E86)+1</f>
        <v>0</v>
      </c>
      <c r="H86" s="51">
        <v>0.0</v>
      </c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</row>
    <row r="87" ht="18.0" customHeight="1">
      <c r="A87" s="4"/>
      <c r="B87" s="47"/>
      <c r="C87" s="48"/>
      <c r="D87" s="48"/>
      <c r="E87" s="49"/>
      <c r="F87" s="49"/>
      <c r="G87" s="50">
        <f>DAYS(F87,E87)+1</f>
        <v>0</v>
      </c>
      <c r="H87" s="51">
        <v>0.0</v>
      </c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</row>
    <row r="88" ht="18.0" customHeight="1">
      <c r="A88" s="4"/>
      <c r="B88" s="47"/>
      <c r="C88" s="48"/>
      <c r="D88" s="48"/>
      <c r="E88" s="49"/>
      <c r="F88" s="49"/>
      <c r="G88" s="50">
        <f>DAYS(F88,E88)+1</f>
        <v>0</v>
      </c>
      <c r="H88" s="51">
        <v>0.0</v>
      </c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</row>
  </sheetData>
  <mergeCells count="31">
    <mergeCell ref="C2:D2"/>
    <mergeCell ref="C3:D3"/>
    <mergeCell ref="C4:D4"/>
    <mergeCell ref="C5:D5"/>
    <mergeCell ref="B7:B8"/>
    <mergeCell ref="C7:C8"/>
    <mergeCell ref="D7:D8"/>
    <mergeCell ref="E7:E8"/>
    <mergeCell ref="F7:F8"/>
    <mergeCell ref="G7:G8"/>
    <mergeCell ref="H7:H8"/>
    <mergeCell ref="I5:AC5"/>
    <mergeCell ref="AD5:AX5"/>
    <mergeCell ref="AY5:CG5"/>
    <mergeCell ref="CH5:CU5"/>
    <mergeCell ref="CV5:DI5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0" workbookViewId="0"/>
  </sheetViews>
  <sheetFormatPr defaultRowHeight="15.0" x14ac:dyDescent="0.25"/>
  <cols>
    <col min="1" max="1" width="3.22" customWidth="1"/>
    <col min="2" max="2" width="12.0" customWidth="1"/>
    <col min="3" max="3" width="52.0" customWidth="1"/>
    <col min="4" max="4" width="28.0" customWidth="1"/>
    <col min="5" max="6" width="12.0" customWidth="1"/>
    <col min="7" max="7" width="10.0" customWidth="1"/>
    <col min="8" max="8" width="12.0" customWidth="1"/>
    <col min="9" max="113" width="3.0" customWidth="1"/>
  </cols>
  <sheetData>
    <row r="1" ht="36.0" customHeight="1">
      <c r="A1" s="4"/>
      <c r="B1" s="0" t="s">
        <v>103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</row>
    <row r="2" ht="18.0" customHeight="1">
      <c r="A2" s="4"/>
      <c r="B2" s="3" t="s">
        <v>1</v>
      </c>
      <c r="C2" s="20" t="s"/>
      <c r="D2" s="2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</row>
    <row r="3" ht="18.0" customHeight="1">
      <c r="A3" s="4"/>
      <c r="B3" s="3" t="s">
        <v>3</v>
      </c>
      <c r="C3" s="20" t="s"/>
      <c r="D3" s="2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</row>
    <row r="4" ht="18.0" customHeight="1">
      <c r="A4" s="4"/>
      <c r="B4" s="3" t="s">
        <v>5</v>
      </c>
      <c r="C4" s="20" t="s"/>
      <c r="D4" s="2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</row>
    <row r="5" ht="20.0" customHeight="1">
      <c r="A5" s="4"/>
      <c r="B5" s="3" t="s">
        <v>7</v>
      </c>
      <c r="C5" s="21" t="s"/>
      <c r="D5" s="21"/>
      <c r="E5" s="0"/>
      <c r="F5" s="0"/>
      <c r="G5" s="0"/>
      <c r="H5" s="0"/>
      <c r="I5" s="11" t="s">
        <v>104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 t="s">
        <v>105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5" t="s">
        <v>106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7" t="s">
        <v>107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63" t="s">
        <v>108</v>
      </c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ht="18.0" customHeight="1">
      <c r="A7" s="4"/>
      <c r="B7" s="22" t="s">
        <v>14</v>
      </c>
      <c r="C7" s="22" t="s">
        <v>15</v>
      </c>
      <c r="D7" s="22" t="s">
        <v>16</v>
      </c>
      <c r="E7" s="22" t="s">
        <v>17</v>
      </c>
      <c r="F7" s="22" t="s">
        <v>18</v>
      </c>
      <c r="G7" s="22" t="s">
        <v>19</v>
      </c>
      <c r="H7" s="22" t="s">
        <v>20</v>
      </c>
      <c r="I7" s="23" t="s">
        <v>21</v>
      </c>
      <c r="J7" s="24"/>
      <c r="K7" s="24"/>
      <c r="L7" s="24"/>
      <c r="M7" s="24"/>
      <c r="N7" s="24"/>
      <c r="O7" s="25"/>
      <c r="P7" s="23" t="s">
        <v>22</v>
      </c>
      <c r="Q7" s="24"/>
      <c r="R7" s="24"/>
      <c r="S7" s="24"/>
      <c r="T7" s="24"/>
      <c r="U7" s="24"/>
      <c r="V7" s="25"/>
      <c r="W7" s="23" t="s">
        <v>23</v>
      </c>
      <c r="X7" s="24"/>
      <c r="Y7" s="24"/>
      <c r="Z7" s="24"/>
      <c r="AA7" s="24"/>
      <c r="AB7" s="24"/>
      <c r="AC7" s="25"/>
      <c r="AD7" s="23" t="s">
        <v>24</v>
      </c>
      <c r="AE7" s="24"/>
      <c r="AF7" s="24"/>
      <c r="AG7" s="24"/>
      <c r="AH7" s="24"/>
      <c r="AI7" s="24"/>
      <c r="AJ7" s="25"/>
      <c r="AK7" s="23" t="s">
        <v>25</v>
      </c>
      <c r="AL7" s="24"/>
      <c r="AM7" s="24"/>
      <c r="AN7" s="24"/>
      <c r="AO7" s="24"/>
      <c r="AP7" s="24"/>
      <c r="AQ7" s="25"/>
      <c r="AR7" s="23" t="s">
        <v>26</v>
      </c>
      <c r="AS7" s="24"/>
      <c r="AT7" s="24"/>
      <c r="AU7" s="24"/>
      <c r="AV7" s="24"/>
      <c r="AW7" s="24"/>
      <c r="AX7" s="25"/>
      <c r="AY7" s="23" t="s">
        <v>27</v>
      </c>
      <c r="AZ7" s="24"/>
      <c r="BA7" s="24"/>
      <c r="BB7" s="24"/>
      <c r="BC7" s="24"/>
      <c r="BD7" s="24"/>
      <c r="BE7" s="25"/>
      <c r="BF7" s="23" t="s">
        <v>28</v>
      </c>
      <c r="BG7" s="24"/>
      <c r="BH7" s="24"/>
      <c r="BI7" s="24"/>
      <c r="BJ7" s="24"/>
      <c r="BK7" s="24"/>
      <c r="BL7" s="25"/>
      <c r="BM7" s="23" t="s">
        <v>29</v>
      </c>
      <c r="BN7" s="24"/>
      <c r="BO7" s="24"/>
      <c r="BP7" s="24"/>
      <c r="BQ7" s="24"/>
      <c r="BR7" s="24"/>
      <c r="BS7" s="25"/>
      <c r="BT7" s="23" t="s">
        <v>30</v>
      </c>
      <c r="BU7" s="24"/>
      <c r="BV7" s="24"/>
      <c r="BW7" s="24"/>
      <c r="BX7" s="24"/>
      <c r="BY7" s="24"/>
      <c r="BZ7" s="25"/>
      <c r="CA7" s="23" t="s">
        <v>31</v>
      </c>
      <c r="CB7" s="24"/>
      <c r="CC7" s="24"/>
      <c r="CD7" s="24"/>
      <c r="CE7" s="24"/>
      <c r="CF7" s="24"/>
      <c r="CG7" s="25"/>
      <c r="CH7" s="23" t="s">
        <v>32</v>
      </c>
      <c r="CI7" s="24"/>
      <c r="CJ7" s="24"/>
      <c r="CK7" s="24"/>
      <c r="CL7" s="24"/>
      <c r="CM7" s="24"/>
      <c r="CN7" s="25"/>
      <c r="CO7" s="23" t="s">
        <v>33</v>
      </c>
      <c r="CP7" s="24"/>
      <c r="CQ7" s="24"/>
      <c r="CR7" s="24"/>
      <c r="CS7" s="24"/>
      <c r="CT7" s="24"/>
      <c r="CU7" s="25"/>
      <c r="CV7" s="23" t="s">
        <v>34</v>
      </c>
      <c r="CW7" s="24"/>
      <c r="CX7" s="24"/>
      <c r="CY7" s="24"/>
      <c r="CZ7" s="24"/>
      <c r="DA7" s="24"/>
      <c r="DB7" s="25"/>
      <c r="DC7" s="23" t="s">
        <v>35</v>
      </c>
      <c r="DD7" s="24"/>
      <c r="DE7" s="24"/>
      <c r="DF7" s="24"/>
      <c r="DG7" s="24"/>
      <c r="DH7" s="24"/>
      <c r="DI7" s="25"/>
    </row>
    <row r="8" ht="18.0" customHeight="1">
      <c r="A8" s="4"/>
      <c r="B8" s="34"/>
      <c r="C8" s="34"/>
      <c r="D8" s="34"/>
      <c r="E8" s="34"/>
      <c r="F8" s="34"/>
      <c r="G8" s="34"/>
      <c r="H8" s="34"/>
      <c r="I8" s="35" t="s">
        <v>36</v>
      </c>
      <c r="J8" s="36" t="s">
        <v>37</v>
      </c>
      <c r="K8" s="36" t="s">
        <v>38</v>
      </c>
      <c r="L8" s="36" t="s">
        <v>39</v>
      </c>
      <c r="M8" s="36" t="s">
        <v>40</v>
      </c>
      <c r="N8" s="36" t="s">
        <v>41</v>
      </c>
      <c r="O8" s="37" t="s">
        <v>42</v>
      </c>
      <c r="P8" s="35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 t="s">
        <v>41</v>
      </c>
      <c r="V8" s="37" t="s">
        <v>42</v>
      </c>
      <c r="W8" s="35" t="s">
        <v>36</v>
      </c>
      <c r="X8" s="36" t="s">
        <v>37</v>
      </c>
      <c r="Y8" s="36" t="s">
        <v>38</v>
      </c>
      <c r="Z8" s="36" t="s">
        <v>39</v>
      </c>
      <c r="AA8" s="36" t="s">
        <v>40</v>
      </c>
      <c r="AB8" s="36" t="s">
        <v>41</v>
      </c>
      <c r="AC8" s="37" t="s">
        <v>42</v>
      </c>
      <c r="AD8" s="35" t="s">
        <v>36</v>
      </c>
      <c r="AE8" s="36" t="s">
        <v>37</v>
      </c>
      <c r="AF8" s="36" t="s">
        <v>38</v>
      </c>
      <c r="AG8" s="36" t="s">
        <v>39</v>
      </c>
      <c r="AH8" s="36" t="s">
        <v>40</v>
      </c>
      <c r="AI8" s="36" t="s">
        <v>41</v>
      </c>
      <c r="AJ8" s="37" t="s">
        <v>42</v>
      </c>
      <c r="AK8" s="35" t="s">
        <v>36</v>
      </c>
      <c r="AL8" s="36" t="s">
        <v>37</v>
      </c>
      <c r="AM8" s="36" t="s">
        <v>38</v>
      </c>
      <c r="AN8" s="36" t="s">
        <v>39</v>
      </c>
      <c r="AO8" s="36" t="s">
        <v>40</v>
      </c>
      <c r="AP8" s="36" t="s">
        <v>41</v>
      </c>
      <c r="AQ8" s="37" t="s">
        <v>42</v>
      </c>
      <c r="AR8" s="35" t="s">
        <v>36</v>
      </c>
      <c r="AS8" s="36" t="s">
        <v>37</v>
      </c>
      <c r="AT8" s="36" t="s">
        <v>38</v>
      </c>
      <c r="AU8" s="36" t="s">
        <v>39</v>
      </c>
      <c r="AV8" s="36" t="s">
        <v>40</v>
      </c>
      <c r="AW8" s="36" t="s">
        <v>41</v>
      </c>
      <c r="AX8" s="37" t="s">
        <v>42</v>
      </c>
      <c r="AY8" s="35" t="s">
        <v>36</v>
      </c>
      <c r="AZ8" s="36" t="s">
        <v>37</v>
      </c>
      <c r="BA8" s="36" t="s">
        <v>38</v>
      </c>
      <c r="BB8" s="36" t="s">
        <v>39</v>
      </c>
      <c r="BC8" s="36" t="s">
        <v>40</v>
      </c>
      <c r="BD8" s="36" t="s">
        <v>41</v>
      </c>
      <c r="BE8" s="37" t="s">
        <v>42</v>
      </c>
      <c r="BF8" s="35" t="s">
        <v>36</v>
      </c>
      <c r="BG8" s="36" t="s">
        <v>37</v>
      </c>
      <c r="BH8" s="36" t="s">
        <v>38</v>
      </c>
      <c r="BI8" s="36" t="s">
        <v>39</v>
      </c>
      <c r="BJ8" s="36" t="s">
        <v>40</v>
      </c>
      <c r="BK8" s="36" t="s">
        <v>41</v>
      </c>
      <c r="BL8" s="37" t="s">
        <v>42</v>
      </c>
      <c r="BM8" s="35" t="s">
        <v>36</v>
      </c>
      <c r="BN8" s="36" t="s">
        <v>37</v>
      </c>
      <c r="BO8" s="36" t="s">
        <v>38</v>
      </c>
      <c r="BP8" s="36" t="s">
        <v>39</v>
      </c>
      <c r="BQ8" s="36" t="s">
        <v>40</v>
      </c>
      <c r="BR8" s="36" t="s">
        <v>41</v>
      </c>
      <c r="BS8" s="37" t="s">
        <v>42</v>
      </c>
      <c r="BT8" s="35" t="s">
        <v>36</v>
      </c>
      <c r="BU8" s="36" t="s">
        <v>37</v>
      </c>
      <c r="BV8" s="36" t="s">
        <v>38</v>
      </c>
      <c r="BW8" s="36" t="s">
        <v>39</v>
      </c>
      <c r="BX8" s="36" t="s">
        <v>40</v>
      </c>
      <c r="BY8" s="36" t="s">
        <v>41</v>
      </c>
      <c r="BZ8" s="37" t="s">
        <v>42</v>
      </c>
      <c r="CA8" s="35" t="s">
        <v>36</v>
      </c>
      <c r="CB8" s="36" t="s">
        <v>37</v>
      </c>
      <c r="CC8" s="36" t="s">
        <v>38</v>
      </c>
      <c r="CD8" s="36" t="s">
        <v>39</v>
      </c>
      <c r="CE8" s="36" t="s">
        <v>40</v>
      </c>
      <c r="CF8" s="36" t="s">
        <v>41</v>
      </c>
      <c r="CG8" s="37" t="s">
        <v>42</v>
      </c>
      <c r="CH8" s="35" t="s">
        <v>36</v>
      </c>
      <c r="CI8" s="36" t="s">
        <v>37</v>
      </c>
      <c r="CJ8" s="36" t="s">
        <v>38</v>
      </c>
      <c r="CK8" s="36" t="s">
        <v>39</v>
      </c>
      <c r="CL8" s="36" t="s">
        <v>40</v>
      </c>
      <c r="CM8" s="36" t="s">
        <v>41</v>
      </c>
      <c r="CN8" s="37" t="s">
        <v>42</v>
      </c>
      <c r="CO8" s="35" t="s">
        <v>36</v>
      </c>
      <c r="CP8" s="36" t="s">
        <v>37</v>
      </c>
      <c r="CQ8" s="36" t="s">
        <v>38</v>
      </c>
      <c r="CR8" s="36" t="s">
        <v>39</v>
      </c>
      <c r="CS8" s="36" t="s">
        <v>40</v>
      </c>
      <c r="CT8" s="36" t="s">
        <v>41</v>
      </c>
      <c r="CU8" s="37" t="s">
        <v>42</v>
      </c>
      <c r="CV8" s="35" t="s">
        <v>36</v>
      </c>
      <c r="CW8" s="36" t="s">
        <v>37</v>
      </c>
      <c r="CX8" s="36" t="s">
        <v>38</v>
      </c>
      <c r="CY8" s="36" t="s">
        <v>39</v>
      </c>
      <c r="CZ8" s="36" t="s">
        <v>40</v>
      </c>
      <c r="DA8" s="36" t="s">
        <v>41</v>
      </c>
      <c r="DB8" s="37" t="s">
        <v>42</v>
      </c>
      <c r="DC8" s="35" t="s">
        <v>36</v>
      </c>
      <c r="DD8" s="36" t="s">
        <v>37</v>
      </c>
      <c r="DE8" s="36" t="s">
        <v>38</v>
      </c>
      <c r="DF8" s="36" t="s">
        <v>39</v>
      </c>
      <c r="DG8" s="36" t="s">
        <v>40</v>
      </c>
      <c r="DH8" s="36" t="s">
        <v>41</v>
      </c>
      <c r="DI8" s="37" t="s">
        <v>42</v>
      </c>
    </row>
    <row r="9" ht="20.0" customHeight="1">
      <c r="A9" s="4"/>
      <c r="B9" s="41">
        <v>1.0</v>
      </c>
      <c r="C9" s="42" t="s"/>
      <c r="D9" s="42"/>
      <c r="E9" s="43"/>
      <c r="F9" s="43"/>
      <c r="G9" s="44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</row>
    <row r="10" ht="18.0" customHeight="1">
      <c r="A10" s="4"/>
      <c r="B10" s="47">
        <v>1.2</v>
      </c>
      <c r="C10" s="48" t="s"/>
      <c r="D10" s="48" t="s"/>
      <c r="E10" s="49"/>
      <c r="F10" s="49"/>
      <c r="G10" s="50">
        <f>DAYS(F10,E10)+1</f>
        <v>0</v>
      </c>
      <c r="H10" s="51">
        <v>0.00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</row>
    <row r="11" ht="18.0" customHeight="1">
      <c r="A11" s="4"/>
      <c r="B11" s="47">
        <v>1.3</v>
      </c>
      <c r="C11" s="48" t="s"/>
      <c r="D11" s="48" t="s"/>
      <c r="E11" s="49"/>
      <c r="F11" s="49"/>
      <c r="G11" s="50">
        <f>DAYS(F11,E11)+1</f>
        <v>0</v>
      </c>
      <c r="H11" s="51">
        <v>0.00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</row>
    <row r="12" ht="18.0" customHeight="1">
      <c r="A12" s="4"/>
      <c r="B12" s="47">
        <v>1.4</v>
      </c>
      <c r="C12" s="48" t="s"/>
      <c r="D12" s="48" t="s"/>
      <c r="E12" s="49"/>
      <c r="F12" s="49"/>
      <c r="G12" s="50">
        <f>DAYS(F12,E12)+1</f>
        <v>0</v>
      </c>
      <c r="H12" s="51">
        <v>0.00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</row>
    <row r="13" ht="18.0" customHeight="1">
      <c r="A13" s="4"/>
      <c r="B13" s="47">
        <v>1.5</v>
      </c>
      <c r="C13" s="48" t="s"/>
      <c r="D13" s="48" t="s"/>
      <c r="E13" s="49"/>
      <c r="F13" s="49"/>
      <c r="G13" s="50">
        <f>DAYS(F13,E13)+1</f>
        <v>0</v>
      </c>
      <c r="H13" s="51">
        <v>0.00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</row>
    <row r="14" ht="20.0" customHeight="1">
      <c r="A14" s="4"/>
      <c r="B14" s="41">
        <v>2.0</v>
      </c>
      <c r="C14" s="42" t="s"/>
      <c r="D14" s="42"/>
      <c r="E14" s="43"/>
      <c r="F14" s="43"/>
      <c r="G14" s="44"/>
      <c r="H14" s="45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</row>
    <row r="15" ht="18.0" customHeight="1">
      <c r="A15" s="4"/>
      <c r="B15" s="47">
        <v>2.2</v>
      </c>
      <c r="C15" s="48" t="s"/>
      <c r="D15" s="48" t="s"/>
      <c r="E15" s="49"/>
      <c r="F15" s="49"/>
      <c r="G15" s="50">
        <f>DAYS(F15,E15)+1</f>
        <v>0</v>
      </c>
      <c r="H15" s="51">
        <v>0.00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</row>
    <row r="16" ht="18.0" customHeight="1">
      <c r="A16" s="4"/>
      <c r="B16" s="47">
        <v>2.3</v>
      </c>
      <c r="C16" s="48" t="s"/>
      <c r="D16" s="48" t="s"/>
      <c r="E16" s="49"/>
      <c r="F16" s="49"/>
      <c r="G16" s="50">
        <f>DAYS(F16,E16)+1</f>
        <v>0</v>
      </c>
      <c r="H16" s="51">
        <v>0.00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</row>
    <row r="17" ht="18.0" customHeight="1">
      <c r="A17" s="4"/>
      <c r="B17" s="47">
        <v>2.4</v>
      </c>
      <c r="C17" s="48" t="s"/>
      <c r="D17" s="48" t="s"/>
      <c r="E17" s="49"/>
      <c r="F17" s="49"/>
      <c r="G17" s="50">
        <f>DAYS(F17,E17)+1</f>
        <v>0</v>
      </c>
      <c r="H17" s="51">
        <v>0.00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</row>
    <row r="18" ht="18.0" customHeight="1">
      <c r="A18" s="4"/>
      <c r="B18" s="47">
        <v>2.5</v>
      </c>
      <c r="C18" s="48" t="s"/>
      <c r="D18" s="48" t="s"/>
      <c r="E18" s="49"/>
      <c r="F18" s="49"/>
      <c r="G18" s="50">
        <f>DAYS(F18,E18)+1</f>
        <v>0</v>
      </c>
      <c r="H18" s="51">
        <v>0.00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</row>
    <row r="19" ht="20.0" customHeight="1">
      <c r="A19" s="4"/>
      <c r="B19" s="41">
        <v>3.0</v>
      </c>
      <c r="C19" s="42" t="s"/>
      <c r="D19" s="42"/>
      <c r="E19" s="43"/>
      <c r="F19" s="43"/>
      <c r="G19" s="44"/>
      <c r="H19" s="45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</row>
    <row r="20" ht="18.0" customHeight="1">
      <c r="A20" s="4"/>
      <c r="B20" s="47">
        <v>3.2</v>
      </c>
      <c r="C20" s="48" t="s"/>
      <c r="D20" s="48" t="s"/>
      <c r="E20" s="49"/>
      <c r="F20" s="49"/>
      <c r="G20" s="50">
        <f>DAYS(F20,E20)+1</f>
        <v>0</v>
      </c>
      <c r="H20" s="51">
        <v>0.00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</row>
    <row r="21" ht="18.0" customHeight="1">
      <c r="A21" s="4"/>
      <c r="B21" s="47">
        <v>3.3</v>
      </c>
      <c r="C21" s="48" t="s"/>
      <c r="D21" s="48" t="s"/>
      <c r="E21" s="49"/>
      <c r="F21" s="49"/>
      <c r="G21" s="50">
        <f>DAYS(F21,E21)+1</f>
        <v>0</v>
      </c>
      <c r="H21" s="51">
        <v>0.00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</row>
    <row r="22" ht="18.0" customHeight="1">
      <c r="A22" s="4"/>
      <c r="B22" s="47">
        <v>3.4</v>
      </c>
      <c r="C22" s="48" t="s"/>
      <c r="D22" s="48" t="s"/>
      <c r="E22" s="49"/>
      <c r="F22" s="49"/>
      <c r="G22" s="50">
        <f>DAYS(F22,E22)+1</f>
        <v>0</v>
      </c>
      <c r="H22" s="51">
        <v>0.00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</row>
    <row r="23" ht="18.0" customHeight="1">
      <c r="A23" s="4"/>
      <c r="B23" s="47">
        <v>3.5</v>
      </c>
      <c r="C23" s="48" t="s"/>
      <c r="D23" s="48" t="s"/>
      <c r="E23" s="49"/>
      <c r="F23" s="49"/>
      <c r="G23" s="50">
        <f>DAYS(F23,E23)+1</f>
        <v>0</v>
      </c>
      <c r="H23" s="51">
        <v>0.00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</row>
    <row r="24" ht="20.0" customHeight="1">
      <c r="A24" s="4"/>
      <c r="B24" s="41">
        <v>4.0</v>
      </c>
      <c r="C24" s="42" t="s"/>
      <c r="D24" s="42"/>
      <c r="E24" s="43"/>
      <c r="F24" s="43"/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</row>
    <row r="25" ht="18.0" customHeight="1">
      <c r="A25" s="4"/>
      <c r="B25" s="47">
        <v>4.2</v>
      </c>
      <c r="C25" s="48" t="s"/>
      <c r="D25" s="48" t="s"/>
      <c r="E25" s="49"/>
      <c r="F25" s="49"/>
      <c r="G25" s="50">
        <f>DAYS(F25,E25)+1</f>
        <v>0</v>
      </c>
      <c r="H25" s="51">
        <v>0.00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</row>
    <row r="26" ht="18.0" customHeight="1">
      <c r="A26" s="4"/>
      <c r="B26" s="47">
        <v>4.3</v>
      </c>
      <c r="C26" s="48" t="s"/>
      <c r="D26" s="48" t="s"/>
      <c r="E26" s="49"/>
      <c r="F26" s="49"/>
      <c r="G26" s="50">
        <f>DAYS(F26,E26)+1</f>
        <v>0</v>
      </c>
      <c r="H26" s="51">
        <v>0.00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</row>
    <row r="27" ht="18.0" customHeight="1">
      <c r="A27" s="4"/>
      <c r="B27" s="47">
        <v>4.4</v>
      </c>
      <c r="C27" s="48" t="s"/>
      <c r="D27" s="48" t="s"/>
      <c r="E27" s="49"/>
      <c r="F27" s="49"/>
      <c r="G27" s="50">
        <f>DAYS(F27,E27)+1</f>
        <v>0</v>
      </c>
      <c r="H27" s="51">
        <v>0.00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</row>
    <row r="28" ht="18.0" customHeight="1">
      <c r="A28" s="4"/>
      <c r="B28" s="47">
        <v>4.5</v>
      </c>
      <c r="C28" s="48" t="s"/>
      <c r="D28" s="48" t="s"/>
      <c r="E28" s="49"/>
      <c r="F28" s="49"/>
      <c r="G28" s="50">
        <f>DAYS(F28,E28)+1</f>
        <v>0</v>
      </c>
      <c r="H28" s="51">
        <v>0.00</v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</row>
    <row r="29" ht="20.0" customHeight="1">
      <c r="A29" s="4"/>
      <c r="B29" s="41">
        <v>5.0</v>
      </c>
      <c r="C29" s="42" t="s"/>
      <c r="D29" s="42"/>
      <c r="E29" s="43"/>
      <c r="F29" s="43"/>
      <c r="G29" s="44"/>
      <c r="H29" s="45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</row>
    <row r="30" ht="18.0" customHeight="1">
      <c r="A30" s="4"/>
      <c r="B30" s="47">
        <v>5.2</v>
      </c>
      <c r="C30" s="48" t="s"/>
      <c r="D30" s="48" t="s"/>
      <c r="E30" s="49"/>
      <c r="F30" s="49"/>
      <c r="G30" s="50">
        <f>DAYS(F30,E30)+1</f>
        <v>0</v>
      </c>
      <c r="H30" s="51">
        <v>0.00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</row>
    <row r="31" ht="18.0" customHeight="1">
      <c r="A31" s="4"/>
      <c r="B31" s="47">
        <v>5.3</v>
      </c>
      <c r="C31" s="48" t="s"/>
      <c r="D31" s="48" t="s"/>
      <c r="E31" s="49"/>
      <c r="F31" s="49"/>
      <c r="G31" s="50">
        <f>DAYS(F31,E31)+1</f>
        <v>0</v>
      </c>
      <c r="H31" s="51">
        <v>0.00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</row>
    <row r="32" ht="18.0" customHeight="1">
      <c r="A32" s="4"/>
      <c r="B32" s="47">
        <v>5.4</v>
      </c>
      <c r="C32" s="48" t="s"/>
      <c r="D32" s="48" t="s"/>
      <c r="E32" s="49"/>
      <c r="F32" s="49"/>
      <c r="G32" s="50">
        <f>DAYS(F32,E32)+1</f>
        <v>0</v>
      </c>
      <c r="H32" s="51">
        <v>0.00</v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</row>
    <row r="33" ht="18.0" customHeight="1">
      <c r="A33" s="4"/>
      <c r="B33" s="47">
        <v>5.5</v>
      </c>
      <c r="C33" s="48" t="s"/>
      <c r="D33" s="48" t="s"/>
      <c r="E33" s="49"/>
      <c r="F33" s="49"/>
      <c r="G33" s="50">
        <f>DAYS(F33,E33)+1</f>
        <v>0</v>
      </c>
      <c r="H33" s="51">
        <v>0.00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</row>
    <row r="34" ht="18.0" customHeight="1">
      <c r="A34" s="4"/>
      <c r="B34" s="47"/>
      <c r="C34" s="48"/>
      <c r="D34" s="48"/>
      <c r="E34" s="49"/>
      <c r="F34" s="49"/>
      <c r="G34" s="50">
        <f>DAYS(F34,E34)+1</f>
        <v>0</v>
      </c>
      <c r="H34" s="51">
        <v>0.0</v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</row>
    <row r="35" ht="18.0" customHeight="1">
      <c r="A35" s="4"/>
      <c r="B35" s="47"/>
      <c r="C35" s="48"/>
      <c r="D35" s="48"/>
      <c r="E35" s="49"/>
      <c r="F35" s="49"/>
      <c r="G35" s="50">
        <f>DAYS(F35,E35)+1</f>
        <v>0</v>
      </c>
      <c r="H35" s="51">
        <v>0.0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</row>
    <row r="36" ht="18.0" customHeight="1">
      <c r="A36" s="4"/>
      <c r="B36" s="47"/>
      <c r="C36" s="48"/>
      <c r="D36" s="48"/>
      <c r="E36" s="49"/>
      <c r="F36" s="49"/>
      <c r="G36" s="50">
        <f>DAYS(F36,E36)+1</f>
        <v>0</v>
      </c>
      <c r="H36" s="51">
        <v>0.0</v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</row>
    <row r="37" ht="18.0" customHeight="1">
      <c r="A37" s="4"/>
      <c r="B37" s="47"/>
      <c r="C37" s="48"/>
      <c r="D37" s="48"/>
      <c r="E37" s="49"/>
      <c r="F37" s="49"/>
      <c r="G37" s="50">
        <f>DAYS(F37,E37)+1</f>
        <v>0</v>
      </c>
      <c r="H37" s="51">
        <v>0.0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</row>
    <row r="38" ht="18.0" customHeight="1">
      <c r="A38" s="4"/>
      <c r="B38" s="47"/>
      <c r="C38" s="48"/>
      <c r="D38" s="48"/>
      <c r="E38" s="49"/>
      <c r="F38" s="49"/>
      <c r="G38" s="50">
        <f>DAYS(F38,E38)+1</f>
        <v>0</v>
      </c>
      <c r="H38" s="51">
        <v>0.0</v>
      </c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</row>
    <row r="39" ht="18.0" customHeight="1">
      <c r="A39" s="4"/>
      <c r="B39" s="47"/>
      <c r="C39" s="48"/>
      <c r="D39" s="48"/>
      <c r="E39" s="49"/>
      <c r="F39" s="49"/>
      <c r="G39" s="50">
        <f>DAYS(F39,E39)+1</f>
        <v>0</v>
      </c>
      <c r="H39" s="51">
        <v>0.0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</row>
    <row r="40" ht="18.0" customHeight="1">
      <c r="A40" s="4"/>
      <c r="B40" s="47"/>
      <c r="C40" s="48"/>
      <c r="D40" s="48"/>
      <c r="E40" s="49"/>
      <c r="F40" s="49"/>
      <c r="G40" s="50">
        <f>DAYS(F40,E40)+1</f>
        <v>0</v>
      </c>
      <c r="H40" s="51">
        <v>0.0</v>
      </c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</row>
    <row r="41" ht="18.0" customHeight="1">
      <c r="A41" s="4"/>
      <c r="B41" s="47"/>
      <c r="C41" s="48"/>
      <c r="D41" s="48"/>
      <c r="E41" s="49"/>
      <c r="F41" s="49"/>
      <c r="G41" s="50">
        <f>DAYS(F41,E41)+1</f>
        <v>0</v>
      </c>
      <c r="H41" s="51">
        <v>0.0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</row>
    <row r="42" ht="18.0" customHeight="1">
      <c r="A42" s="4"/>
      <c r="B42" s="47"/>
      <c r="C42" s="48"/>
      <c r="D42" s="48"/>
      <c r="E42" s="49"/>
      <c r="F42" s="49"/>
      <c r="G42" s="50">
        <f>DAYS(F42,E42)+1</f>
        <v>0</v>
      </c>
      <c r="H42" s="51">
        <v>0.0</v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</row>
    <row r="43" ht="18.0" customHeight="1">
      <c r="A43" s="4"/>
      <c r="B43" s="47"/>
      <c r="C43" s="48"/>
      <c r="D43" s="48"/>
      <c r="E43" s="49"/>
      <c r="F43" s="49"/>
      <c r="G43" s="50">
        <f>DAYS(F43,E43)+1</f>
        <v>0</v>
      </c>
      <c r="H43" s="51">
        <v>0.0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</row>
    <row r="44" ht="18.0" customHeight="1">
      <c r="A44" s="4"/>
      <c r="B44" s="47"/>
      <c r="C44" s="48"/>
      <c r="D44" s="48"/>
      <c r="E44" s="49"/>
      <c r="F44" s="49"/>
      <c r="G44" s="50">
        <f>DAYS(F44,E44)+1</f>
        <v>0</v>
      </c>
      <c r="H44" s="51">
        <v>0.0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</row>
    <row r="45" ht="18.0" customHeight="1">
      <c r="A45" s="4"/>
      <c r="B45" s="47"/>
      <c r="C45" s="48"/>
      <c r="D45" s="48"/>
      <c r="E45" s="49"/>
      <c r="F45" s="49"/>
      <c r="G45" s="50">
        <f>DAYS(F45,E45)+1</f>
        <v>0</v>
      </c>
      <c r="H45" s="51">
        <v>0.0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</row>
    <row r="46" ht="18.0" customHeight="1">
      <c r="A46" s="4"/>
      <c r="B46" s="47"/>
      <c r="C46" s="48"/>
      <c r="D46" s="48"/>
      <c r="E46" s="49"/>
      <c r="F46" s="49"/>
      <c r="G46" s="50">
        <f>DAYS(F46,E46)+1</f>
        <v>0</v>
      </c>
      <c r="H46" s="51">
        <v>0.0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</row>
    <row r="47" ht="18.0" customHeight="1">
      <c r="A47" s="4"/>
      <c r="B47" s="47"/>
      <c r="C47" s="48"/>
      <c r="D47" s="48"/>
      <c r="E47" s="49"/>
      <c r="F47" s="49"/>
      <c r="G47" s="50">
        <f>DAYS(F47,E47)+1</f>
        <v>0</v>
      </c>
      <c r="H47" s="51">
        <v>0.0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</row>
    <row r="48" ht="18.0" customHeight="1">
      <c r="A48" s="4"/>
      <c r="B48" s="47"/>
      <c r="C48" s="48"/>
      <c r="D48" s="48"/>
      <c r="E48" s="49"/>
      <c r="F48" s="49"/>
      <c r="G48" s="50">
        <f>DAYS(F48,E48)+1</f>
        <v>0</v>
      </c>
      <c r="H48" s="51">
        <v>0.0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</row>
    <row r="49" ht="18.0" customHeight="1">
      <c r="A49" s="4"/>
      <c r="B49" s="47"/>
      <c r="C49" s="48"/>
      <c r="D49" s="48"/>
      <c r="E49" s="49"/>
      <c r="F49" s="49"/>
      <c r="G49" s="50">
        <f>DAYS(F49,E49)+1</f>
        <v>0</v>
      </c>
      <c r="H49" s="51">
        <v>0.0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</row>
    <row r="50" ht="18.0" customHeight="1">
      <c r="A50" s="4"/>
      <c r="B50" s="47"/>
      <c r="C50" s="48"/>
      <c r="D50" s="48"/>
      <c r="E50" s="49"/>
      <c r="F50" s="49"/>
      <c r="G50" s="50">
        <f>DAYS(F50,E50)+1</f>
        <v>0</v>
      </c>
      <c r="H50" s="51">
        <v>0.0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</row>
    <row r="51" ht="18.0" customHeight="1">
      <c r="A51" s="4"/>
      <c r="B51" s="47"/>
      <c r="C51" s="48"/>
      <c r="D51" s="48"/>
      <c r="E51" s="49"/>
      <c r="F51" s="49"/>
      <c r="G51" s="50">
        <f>DAYS(F51,E51)+1</f>
        <v>0</v>
      </c>
      <c r="H51" s="51">
        <v>0.0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</row>
    <row r="52" ht="18.0" customHeight="1">
      <c r="A52" s="4"/>
      <c r="B52" s="47"/>
      <c r="C52" s="48"/>
      <c r="D52" s="48"/>
      <c r="E52" s="49"/>
      <c r="F52" s="49"/>
      <c r="G52" s="50">
        <f>DAYS(F52,E52)+1</f>
        <v>0</v>
      </c>
      <c r="H52" s="51">
        <v>0.0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</row>
    <row r="53" ht="18.0" customHeight="1">
      <c r="A53" s="4"/>
      <c r="B53" s="47"/>
      <c r="C53" s="48"/>
      <c r="D53" s="48"/>
      <c r="E53" s="49"/>
      <c r="F53" s="49"/>
      <c r="G53" s="50">
        <f>DAYS(F53,E53)+1</f>
        <v>0</v>
      </c>
      <c r="H53" s="51">
        <v>0.0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</row>
    <row r="54" ht="18.0" customHeight="1">
      <c r="A54" s="4"/>
      <c r="B54" s="47"/>
      <c r="C54" s="48"/>
      <c r="D54" s="48"/>
      <c r="E54" s="49"/>
      <c r="F54" s="49"/>
      <c r="G54" s="50">
        <f>DAYS(F54,E54)+1</f>
        <v>0</v>
      </c>
      <c r="H54" s="51">
        <v>0.0</v>
      </c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</row>
    <row r="55" ht="18.0" customHeight="1">
      <c r="A55" s="4"/>
      <c r="B55" s="47"/>
      <c r="C55" s="48"/>
      <c r="D55" s="48"/>
      <c r="E55" s="49"/>
      <c r="F55" s="49"/>
      <c r="G55" s="50">
        <f>DAYS(F55,E55)+1</f>
        <v>0</v>
      </c>
      <c r="H55" s="51">
        <v>0.0</v>
      </c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</row>
    <row r="56" ht="18.0" customHeight="1">
      <c r="A56" s="4"/>
      <c r="B56" s="47"/>
      <c r="C56" s="48"/>
      <c r="D56" s="48"/>
      <c r="E56" s="49"/>
      <c r="F56" s="49"/>
      <c r="G56" s="50">
        <f>DAYS(F56,E56)+1</f>
        <v>0</v>
      </c>
      <c r="H56" s="51">
        <v>0.0</v>
      </c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</row>
    <row r="57" ht="18.0" customHeight="1">
      <c r="A57" s="4"/>
      <c r="B57" s="47"/>
      <c r="C57" s="48"/>
      <c r="D57" s="48"/>
      <c r="E57" s="49"/>
      <c r="F57" s="49"/>
      <c r="G57" s="50">
        <f>DAYS(F57,E57)+1</f>
        <v>0</v>
      </c>
      <c r="H57" s="51">
        <v>0.0</v>
      </c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</row>
    <row r="58" ht="18.0" customHeight="1">
      <c r="A58" s="4"/>
      <c r="B58" s="47"/>
      <c r="C58" s="48"/>
      <c r="D58" s="48"/>
      <c r="E58" s="49"/>
      <c r="F58" s="49"/>
      <c r="G58" s="50">
        <f>DAYS(F58,E58)+1</f>
        <v>0</v>
      </c>
      <c r="H58" s="51">
        <v>0.0</v>
      </c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</row>
    <row r="59" ht="18.0" customHeight="1">
      <c r="A59" s="4"/>
      <c r="B59" s="47"/>
      <c r="C59" s="48"/>
      <c r="D59" s="48"/>
      <c r="E59" s="49"/>
      <c r="F59" s="49"/>
      <c r="G59" s="50">
        <f>DAYS(F59,E59)+1</f>
        <v>0</v>
      </c>
      <c r="H59" s="51">
        <v>0.0</v>
      </c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</row>
    <row r="60" ht="18.0" customHeight="1">
      <c r="A60" s="4"/>
      <c r="B60" s="47"/>
      <c r="C60" s="48"/>
      <c r="D60" s="48"/>
      <c r="E60" s="49"/>
      <c r="F60" s="49"/>
      <c r="G60" s="50">
        <f>DAYS(F60,E60)+1</f>
        <v>0</v>
      </c>
      <c r="H60" s="51">
        <v>0.0</v>
      </c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</row>
    <row r="61" ht="18.0" customHeight="1">
      <c r="A61" s="4"/>
      <c r="B61" s="47"/>
      <c r="C61" s="48"/>
      <c r="D61" s="48"/>
      <c r="E61" s="49"/>
      <c r="F61" s="49"/>
      <c r="G61" s="50">
        <f>DAYS(F61,E61)+1</f>
        <v>0</v>
      </c>
      <c r="H61" s="51">
        <v>0.0</v>
      </c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</row>
    <row r="62" ht="18.0" customHeight="1">
      <c r="A62" s="4"/>
      <c r="B62" s="47"/>
      <c r="C62" s="48"/>
      <c r="D62" s="48"/>
      <c r="E62" s="49"/>
      <c r="F62" s="49"/>
      <c r="G62" s="50">
        <f>DAYS(F62,E62)+1</f>
        <v>0</v>
      </c>
      <c r="H62" s="51">
        <v>0.0</v>
      </c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</row>
    <row r="63" ht="18.0" customHeight="1">
      <c r="A63" s="4"/>
      <c r="B63" s="47"/>
      <c r="C63" s="48"/>
      <c r="D63" s="48"/>
      <c r="E63" s="49"/>
      <c r="F63" s="49"/>
      <c r="G63" s="50">
        <f>DAYS(F63,E63)+1</f>
        <v>0</v>
      </c>
      <c r="H63" s="51">
        <v>0.0</v>
      </c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</row>
    <row r="64" ht="18.0" customHeight="1">
      <c r="A64" s="4"/>
      <c r="B64" s="47"/>
      <c r="C64" s="48"/>
      <c r="D64" s="48"/>
      <c r="E64" s="49"/>
      <c r="F64" s="49"/>
      <c r="G64" s="50">
        <f>DAYS(F64,E64)+1</f>
        <v>0</v>
      </c>
      <c r="H64" s="51">
        <v>0.0</v>
      </c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</row>
    <row r="65" ht="18.0" customHeight="1">
      <c r="A65" s="4"/>
      <c r="B65" s="47"/>
      <c r="C65" s="48"/>
      <c r="D65" s="48"/>
      <c r="E65" s="49"/>
      <c r="F65" s="49"/>
      <c r="G65" s="50">
        <f>DAYS(F65,E65)+1</f>
        <v>0</v>
      </c>
      <c r="H65" s="51">
        <v>0.0</v>
      </c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</row>
    <row r="66" ht="18.0" customHeight="1">
      <c r="A66" s="4"/>
      <c r="B66" s="47"/>
      <c r="C66" s="48"/>
      <c r="D66" s="48"/>
      <c r="E66" s="49"/>
      <c r="F66" s="49"/>
      <c r="G66" s="50">
        <f>DAYS(F66,E66)+1</f>
        <v>0</v>
      </c>
      <c r="H66" s="51">
        <v>0.0</v>
      </c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</row>
    <row r="67" ht="18.0" customHeight="1">
      <c r="A67" s="4"/>
      <c r="B67" s="47"/>
      <c r="C67" s="48"/>
      <c r="D67" s="48"/>
      <c r="E67" s="49"/>
      <c r="F67" s="49"/>
      <c r="G67" s="50">
        <f>DAYS(F67,E67)+1</f>
        <v>0</v>
      </c>
      <c r="H67" s="51">
        <v>0.0</v>
      </c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</row>
    <row r="68" ht="18.0" customHeight="1">
      <c r="A68" s="4"/>
      <c r="B68" s="47"/>
      <c r="C68" s="48"/>
      <c r="D68" s="48"/>
      <c r="E68" s="49"/>
      <c r="F68" s="49"/>
      <c r="G68" s="50">
        <f>DAYS(F68,E68)+1</f>
        <v>0</v>
      </c>
      <c r="H68" s="51">
        <v>0.0</v>
      </c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</row>
    <row r="69" ht="18.0" customHeight="1">
      <c r="A69" s="4"/>
      <c r="B69" s="47"/>
      <c r="C69" s="48"/>
      <c r="D69" s="48"/>
      <c r="E69" s="49"/>
      <c r="F69" s="49"/>
      <c r="G69" s="50">
        <f>DAYS(F69,E69)+1</f>
        <v>0</v>
      </c>
      <c r="H69" s="51">
        <v>0.0</v>
      </c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</row>
    <row r="70" ht="18.0" customHeight="1">
      <c r="A70" s="4"/>
      <c r="B70" s="47"/>
      <c r="C70" s="48"/>
      <c r="D70" s="48"/>
      <c r="E70" s="49"/>
      <c r="F70" s="49"/>
      <c r="G70" s="50">
        <f>DAYS(F70,E70)+1</f>
        <v>0</v>
      </c>
      <c r="H70" s="51">
        <v>0.0</v>
      </c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</row>
    <row r="71" ht="18.0" customHeight="1">
      <c r="A71" s="4"/>
      <c r="B71" s="47"/>
      <c r="C71" s="48"/>
      <c r="D71" s="48"/>
      <c r="E71" s="49"/>
      <c r="F71" s="49"/>
      <c r="G71" s="50">
        <f>DAYS(F71,E71)+1</f>
        <v>0</v>
      </c>
      <c r="H71" s="51">
        <v>0.0</v>
      </c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</row>
    <row r="72" ht="18.0" customHeight="1">
      <c r="A72" s="4"/>
      <c r="B72" s="47"/>
      <c r="C72" s="48"/>
      <c r="D72" s="48"/>
      <c r="E72" s="49"/>
      <c r="F72" s="49"/>
      <c r="G72" s="50">
        <f>DAYS(F72,E72)+1</f>
        <v>0</v>
      </c>
      <c r="H72" s="51">
        <v>0.0</v>
      </c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</row>
    <row r="73" ht="18.0" customHeight="1">
      <c r="A73" s="4"/>
      <c r="B73" s="47"/>
      <c r="C73" s="48"/>
      <c r="D73" s="48"/>
      <c r="E73" s="49"/>
      <c r="F73" s="49"/>
      <c r="G73" s="50">
        <f>DAYS(F73,E73)+1</f>
        <v>0</v>
      </c>
      <c r="H73" s="51">
        <v>0.0</v>
      </c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</row>
    <row r="74" ht="18.0" customHeight="1">
      <c r="A74" s="4"/>
      <c r="B74" s="47"/>
      <c r="C74" s="48"/>
      <c r="D74" s="48"/>
      <c r="E74" s="49"/>
      <c r="F74" s="49"/>
      <c r="G74" s="50">
        <f>DAYS(F74,E74)+1</f>
        <v>0</v>
      </c>
      <c r="H74" s="51">
        <v>0.0</v>
      </c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</row>
    <row r="75" ht="18.0" customHeight="1">
      <c r="A75" s="4"/>
      <c r="B75" s="47"/>
      <c r="C75" s="48"/>
      <c r="D75" s="48"/>
      <c r="E75" s="49"/>
      <c r="F75" s="49"/>
      <c r="G75" s="50">
        <f>DAYS(F75,E75)+1</f>
        <v>0</v>
      </c>
      <c r="H75" s="51">
        <v>0.0</v>
      </c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</row>
    <row r="76" ht="18.0" customHeight="1">
      <c r="A76" s="4"/>
      <c r="B76" s="47"/>
      <c r="C76" s="48"/>
      <c r="D76" s="48"/>
      <c r="E76" s="49"/>
      <c r="F76" s="49"/>
      <c r="G76" s="50">
        <f>DAYS(F76,E76)+1</f>
        <v>0</v>
      </c>
      <c r="H76" s="51">
        <v>0.0</v>
      </c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</row>
    <row r="77" ht="18.0" customHeight="1">
      <c r="A77" s="4"/>
      <c r="B77" s="47"/>
      <c r="C77" s="48"/>
      <c r="D77" s="48"/>
      <c r="E77" s="49"/>
      <c r="F77" s="49"/>
      <c r="G77" s="50">
        <f>DAYS(F77,E77)+1</f>
        <v>0</v>
      </c>
      <c r="H77" s="51">
        <v>0.0</v>
      </c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</row>
    <row r="78" ht="18.0" customHeight="1">
      <c r="A78" s="4"/>
      <c r="B78" s="47"/>
      <c r="C78" s="48"/>
      <c r="D78" s="48"/>
      <c r="E78" s="49"/>
      <c r="F78" s="49"/>
      <c r="G78" s="50">
        <f>DAYS(F78,E78)+1</f>
        <v>0</v>
      </c>
      <c r="H78" s="51">
        <v>0.0</v>
      </c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</row>
    <row r="79" ht="18.0" customHeight="1">
      <c r="A79" s="4"/>
      <c r="B79" s="47"/>
      <c r="C79" s="48"/>
      <c r="D79" s="48"/>
      <c r="E79" s="49"/>
      <c r="F79" s="49"/>
      <c r="G79" s="50">
        <f>DAYS(F79,E79)+1</f>
        <v>0</v>
      </c>
      <c r="H79" s="51">
        <v>0.0</v>
      </c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</row>
    <row r="80" ht="18.0" customHeight="1">
      <c r="A80" s="4"/>
      <c r="B80" s="47"/>
      <c r="C80" s="48"/>
      <c r="D80" s="48"/>
      <c r="E80" s="49"/>
      <c r="F80" s="49"/>
      <c r="G80" s="50">
        <f>DAYS(F80,E80)+1</f>
        <v>0</v>
      </c>
      <c r="H80" s="51">
        <v>0.0</v>
      </c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</row>
    <row r="81" ht="18.0" customHeight="1">
      <c r="A81" s="4"/>
      <c r="B81" s="47"/>
      <c r="C81" s="48"/>
      <c r="D81" s="48"/>
      <c r="E81" s="49"/>
      <c r="F81" s="49"/>
      <c r="G81" s="50">
        <f>DAYS(F81,E81)+1</f>
        <v>0</v>
      </c>
      <c r="H81" s="51">
        <v>0.0</v>
      </c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</row>
    <row r="82" ht="18.0" customHeight="1">
      <c r="A82" s="4"/>
      <c r="B82" s="47"/>
      <c r="C82" s="48"/>
      <c r="D82" s="48"/>
      <c r="E82" s="49"/>
      <c r="F82" s="49"/>
      <c r="G82" s="50">
        <f>DAYS(F82,E82)+1</f>
        <v>0</v>
      </c>
      <c r="H82" s="51">
        <v>0.0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</row>
    <row r="83" ht="18.0" customHeight="1">
      <c r="A83" s="4"/>
      <c r="B83" s="47"/>
      <c r="C83" s="48"/>
      <c r="D83" s="48"/>
      <c r="E83" s="49"/>
      <c r="F83" s="49"/>
      <c r="G83" s="50">
        <f>DAYS(F83,E83)+1</f>
        <v>0</v>
      </c>
      <c r="H83" s="51">
        <v>0.0</v>
      </c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</row>
    <row r="84" ht="18.0" customHeight="1">
      <c r="A84" s="4"/>
      <c r="B84" s="47"/>
      <c r="C84" s="48"/>
      <c r="D84" s="48"/>
      <c r="E84" s="49"/>
      <c r="F84" s="49"/>
      <c r="G84" s="50">
        <f>DAYS(F84,E84)+1</f>
        <v>0</v>
      </c>
      <c r="H84" s="51">
        <v>0.0</v>
      </c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</row>
    <row r="85" ht="18.0" customHeight="1">
      <c r="A85" s="4"/>
      <c r="B85" s="47"/>
      <c r="C85" s="48"/>
      <c r="D85" s="48"/>
      <c r="E85" s="49"/>
      <c r="F85" s="49"/>
      <c r="G85" s="50">
        <f>DAYS(F85,E85)+1</f>
        <v>0</v>
      </c>
      <c r="H85" s="51">
        <v>0.0</v>
      </c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</row>
    <row r="86" ht="18.0" customHeight="1">
      <c r="A86" s="4"/>
      <c r="B86" s="47"/>
      <c r="C86" s="48"/>
      <c r="D86" s="48"/>
      <c r="E86" s="49"/>
      <c r="F86" s="49"/>
      <c r="G86" s="50">
        <f>DAYS(F86,E86)+1</f>
        <v>0</v>
      </c>
      <c r="H86" s="51">
        <v>0.0</v>
      </c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</row>
    <row r="87" ht="18.0" customHeight="1">
      <c r="A87" s="4"/>
      <c r="B87" s="47"/>
      <c r="C87" s="48"/>
      <c r="D87" s="48"/>
      <c r="E87" s="49"/>
      <c r="F87" s="49"/>
      <c r="G87" s="50">
        <f>DAYS(F87,E87)+1</f>
        <v>0</v>
      </c>
      <c r="H87" s="51">
        <v>0.0</v>
      </c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</row>
    <row r="88" ht="18.0" customHeight="1">
      <c r="A88" s="4"/>
      <c r="B88" s="47"/>
      <c r="C88" s="48"/>
      <c r="D88" s="48"/>
      <c r="E88" s="49"/>
      <c r="F88" s="49"/>
      <c r="G88" s="50">
        <f>DAYS(F88,E88)+1</f>
        <v>0</v>
      </c>
      <c r="H88" s="51">
        <v>0.0</v>
      </c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</row>
  </sheetData>
  <mergeCells count="31">
    <mergeCell ref="C2:D2"/>
    <mergeCell ref="C3:D3"/>
    <mergeCell ref="C4:D4"/>
    <mergeCell ref="C5:D5"/>
    <mergeCell ref="B7:B8"/>
    <mergeCell ref="C7:C8"/>
    <mergeCell ref="D7:D8"/>
    <mergeCell ref="E7:E8"/>
    <mergeCell ref="F7:F8"/>
    <mergeCell ref="G7:G8"/>
    <mergeCell ref="H7:H8"/>
    <mergeCell ref="I5:AC5"/>
    <mergeCell ref="AD5:AX5"/>
    <mergeCell ref="AY5:CG5"/>
    <mergeCell ref="CH5:CU5"/>
    <mergeCell ref="CV5:DI5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</mergeCells>
  <pageMargins left="0.7" right="0.7" top="0.75" bottom="0.75" header="0.3" footer="0.3"/>
</worksheet>
</file>